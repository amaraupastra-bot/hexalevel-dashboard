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s" sheetId="2" r:id="rId6"/>
    <sheet state="visible" name="Revenue Split" sheetId="3" r:id="rId7"/>
    <sheet state="visible" name="Expenses" sheetId="4" r:id="rId8"/>
    <sheet state="visible" name="Send Money" sheetId="5" r:id="rId9"/>
  </sheets>
  <definedNames/>
  <calcPr/>
</workbook>
</file>

<file path=xl/sharedStrings.xml><?xml version="1.0" encoding="utf-8"?>
<sst xmlns="http://schemas.openxmlformats.org/spreadsheetml/2006/main" count="368" uniqueCount="140">
  <si>
    <t>HEXALEVEL — REVENUE SPLIT  |  50% Company  ·  50% Team</t>
  </si>
  <si>
    <t>HEXALEVEL — CLIENT PROJECTS TRACKER</t>
  </si>
  <si>
    <t>PURCHASES — Items &amp; Prices</t>
  </si>
  <si>
    <t>HEXALEVEL — MONTHLY REVENUE DASHBOARD</t>
  </si>
  <si>
    <t>Item / Purchase</t>
  </si>
  <si>
    <t>Name / Link</t>
  </si>
  <si>
    <t>Price (PKR)</t>
  </si>
  <si>
    <t>All values update automatically — add rows to Projects / Revenue Split / Expenses</t>
  </si>
  <si>
    <t>Month</t>
  </si>
  <si>
    <t>Domain</t>
  </si>
  <si>
    <t>Amount (PKR)</t>
  </si>
  <si>
    <t>Company 50%</t>
  </si>
  <si>
    <t>Team 50%</t>
  </si>
  <si>
    <t>Status</t>
  </si>
  <si>
    <t>theghlvideo.com</t>
  </si>
  <si>
    <t>Date Received</t>
  </si>
  <si>
    <t>Shaista</t>
  </si>
  <si>
    <t>Amara</t>
  </si>
  <si>
    <t>Tax on Transfer</t>
  </si>
  <si>
    <t>DEC</t>
  </si>
  <si>
    <t>Upwork Connects</t>
  </si>
  <si>
    <t>$15</t>
  </si>
  <si>
    <t>TOTAL REVENUE (PKR)</t>
  </si>
  <si>
    <t>Fiver Course</t>
  </si>
  <si>
    <t>Chain solution</t>
  </si>
  <si>
    <t>COMPANY SHARE (50%)</t>
  </si>
  <si>
    <t>Project Start</t>
  </si>
  <si>
    <t>Client Name</t>
  </si>
  <si>
    <t>Project Name</t>
  </si>
  <si>
    <t>Received</t>
  </si>
  <si>
    <t>Service Type</t>
  </si>
  <si>
    <t>TEAM SHARE (50%)</t>
  </si>
  <si>
    <t>Amount</t>
  </si>
  <si>
    <t>26 Jan 2026</t>
  </si>
  <si>
    <t>6 course Leads generation</t>
  </si>
  <si>
    <t>Currency</t>
  </si>
  <si>
    <t>6/6 course</t>
  </si>
  <si>
    <t>Nayapay</t>
  </si>
  <si>
    <t>Payment Status</t>
  </si>
  <si>
    <t>Askari</t>
  </si>
  <si>
    <t>Payment Date</t>
  </si>
  <si>
    <t>Notes</t>
  </si>
  <si>
    <t>Bank</t>
  </si>
  <si>
    <t>TOTAL PURCHASES</t>
  </si>
  <si>
    <t xml:space="preserve">Buy Crm </t>
  </si>
  <si>
    <t>Guarantee Crm</t>
  </si>
  <si>
    <t>Dec 2025</t>
  </si>
  <si>
    <t>Ranked Skill</t>
  </si>
  <si>
    <t>Mortgage Leads flow</t>
  </si>
  <si>
    <t>CRM</t>
  </si>
  <si>
    <t>BUY EMAIL THEGHLVIDEO</t>
  </si>
  <si>
    <t>PKR</t>
  </si>
  <si>
    <t>FEB</t>
  </si>
  <si>
    <t>12-Jan-2026</t>
  </si>
  <si>
    <t>Meezan</t>
  </si>
  <si>
    <t>Renew hexalevel Domain</t>
  </si>
  <si>
    <t>Jan 2026</t>
  </si>
  <si>
    <t>India</t>
  </si>
  <si>
    <t>Crm +Wp</t>
  </si>
  <si>
    <t>Both</t>
  </si>
  <si>
    <t>20 Feb 2026</t>
  </si>
  <si>
    <t>INR</t>
  </si>
  <si>
    <t>20-Feb-2026</t>
  </si>
  <si>
    <t>Payoneer</t>
  </si>
  <si>
    <t>TOTAL</t>
  </si>
  <si>
    <t>USA</t>
  </si>
  <si>
    <t>21 Feb 2026</t>
  </si>
  <si>
    <t>GHL all services</t>
  </si>
  <si>
    <t>HBI</t>
  </si>
  <si>
    <t>USD</t>
  </si>
  <si>
    <t>Pending</t>
  </si>
  <si>
    <t>Waiting for payment</t>
  </si>
  <si>
    <t>25 Feb 2026</t>
  </si>
  <si>
    <t>Lahore</t>
  </si>
  <si>
    <t>Life insurance</t>
  </si>
  <si>
    <t>21-Feb-2026</t>
  </si>
  <si>
    <t>HBL</t>
  </si>
  <si>
    <t>March</t>
  </si>
  <si>
    <t>Mehroz</t>
  </si>
  <si>
    <t>GHL Work</t>
  </si>
  <si>
    <t>3 Mar 2026</t>
  </si>
  <si>
    <t>Waleed</t>
  </si>
  <si>
    <t>Seo site</t>
  </si>
  <si>
    <t>WP</t>
  </si>
  <si>
    <t>15 Mar 2026</t>
  </si>
  <si>
    <t>NEW PURCHASES — Items &amp; Prices (from 1 Sep 2026, split 3 ways)</t>
  </si>
  <si>
    <t>NET PROFIT</t>
  </si>
  <si>
    <t>Mar 2026</t>
  </si>
  <si>
    <t>Upwork</t>
  </si>
  <si>
    <t>Funnel designing</t>
  </si>
  <si>
    <t>25 Mar 2026</t>
  </si>
  <si>
    <t>TOTAL PROJECTS</t>
  </si>
  <si>
    <t>27 Mar 2026</t>
  </si>
  <si>
    <t>PAYMENTS RECEIVED</t>
  </si>
  <si>
    <t>A2p</t>
  </si>
  <si>
    <t>April</t>
  </si>
  <si>
    <t>SEND MONEY TOTAL</t>
  </si>
  <si>
    <t>haris</t>
  </si>
  <si>
    <t>GHL</t>
  </si>
  <si>
    <t xml:space="preserve">Received </t>
  </si>
  <si>
    <t xml:space="preserve">Nayapay </t>
  </si>
  <si>
    <t xml:space="preserve">Askari </t>
  </si>
  <si>
    <t>CRM+WP</t>
  </si>
  <si>
    <t>Hbl</t>
  </si>
  <si>
    <t xml:space="preserve">Payoneer </t>
  </si>
  <si>
    <t>May</t>
  </si>
  <si>
    <t>Usa + Fiver</t>
  </si>
  <si>
    <t>Haris</t>
  </si>
  <si>
    <t>June</t>
  </si>
  <si>
    <t>Usa</t>
  </si>
  <si>
    <t>A2P</t>
  </si>
  <si>
    <t>July</t>
  </si>
  <si>
    <t xml:space="preserve">Cutting </t>
  </si>
  <si>
    <t>Sep</t>
  </si>
  <si>
    <t>shelim</t>
  </si>
  <si>
    <t>Sheen</t>
  </si>
  <si>
    <t>NEW SPLIT — FROM 1 SEP 2026  (Company 30% · Shaista / Amara / Urooj 23.33% each)</t>
  </si>
  <si>
    <t>COMPANY SHARE (Total)</t>
  </si>
  <si>
    <t>TEAM SHARE (Total)</t>
  </si>
  <si>
    <t>HEXALEVEL — REVENUE SPLIT (NEW MODEL, effective 1 Sep 2026)  |  Company 30%  ·  Shaista 23.33%  ·  Amara 23.33%  ·  Urooj 23.33%</t>
  </si>
  <si>
    <t>Company 30%</t>
  </si>
  <si>
    <t>Shaista 23.33%</t>
  </si>
  <si>
    <t>Amara 23.33%</t>
  </si>
  <si>
    <t>Urooj 23.33%</t>
  </si>
  <si>
    <t>Urooj</t>
  </si>
  <si>
    <t xml:space="preserve">Oct </t>
  </si>
  <si>
    <t xml:space="preserve">Umair </t>
  </si>
  <si>
    <t xml:space="preserve">CRM </t>
  </si>
  <si>
    <t>UBL</t>
  </si>
  <si>
    <t>OVERALL SUMMARY  (Old + New Combined)</t>
  </si>
  <si>
    <t>OVERALL REVENUE (PKR)</t>
  </si>
  <si>
    <t>OVERALL NET PROFIT</t>
  </si>
  <si>
    <t>Note: New split active from 1 Sep 2026 (Urooj joined). Company 30%, remaining 70% divided equally among Shaista, Amara &amp; Urooj (23.33% each). Rows above (row 3-21) are historical entries and remain at the old 50% Company / 50% Team split — not recalculated.</t>
  </si>
  <si>
    <t>SEND MONEY — Payments Made</t>
  </si>
  <si>
    <t>Send Money To</t>
  </si>
  <si>
    <t>Amount Sent (PKR)</t>
  </si>
  <si>
    <t>Send Sundas for email testing</t>
  </si>
  <si>
    <t>Meeting Fiver with Ahsan</t>
  </si>
  <si>
    <t>Waqar Udhar</t>
  </si>
  <si>
    <t>NEW SEND MONEY — Payments Made (from 1 Sep 2026, split 3 ways)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</si>
</sst>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\ yyyy"/>
    <numFmt numFmtId="165" formatCode="#,##0.##"/>
    <numFmt numFmtId="166" formatCode="d\ mmm\ yyyy"/>
    <numFmt numFmtId="167" formatCode="mmmm\ yyyy"/>
    <numFmt numFmtId="168" formatCode="d\ mmmm\ yyyy"/>
    <numFmt numFmtId="169" formatCode="dd/mm/yyyy"/>
    <numFmt numFmtId="170" formatCode="d/m/yy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Calibri"/>
    </font>
    <font/>
    <font>
      <b/>
      <sz val="14.0"/>
      <color rgb="FFFFFFFF"/>
      <name val="Calibri"/>
    </font>
    <font>
      <b/>
      <sz val="10.0"/>
      <color rgb="FFFFFFFF"/>
      <name val="Calibri"/>
    </font>
    <font>
      <sz val="10.0"/>
      <color rgb="FF111111"/>
      <name val="Arial"/>
    </font>
    <font>
      <i/>
      <sz val="9.0"/>
      <color rgb="FFFFFFFF"/>
      <name val="Calibri"/>
    </font>
    <font>
      <sz val="9.0"/>
      <color rgb="FF0D4A42"/>
      <name val="Calibri"/>
    </font>
    <font>
      <sz val="9.0"/>
      <color rgb="FF1A3A6A"/>
      <name val="Calibri"/>
    </font>
    <font>
      <b/>
      <sz val="10.0"/>
      <color rgb="FF1A7A6E"/>
      <name val="Arial"/>
    </font>
    <font>
      <sz val="9.0"/>
      <color rgb="FF4A6010"/>
      <name val="Calibri"/>
    </font>
    <font>
      <sz val="9.0"/>
      <color rgb="FF922B21"/>
      <name val="Calibri"/>
    </font>
    <font>
      <b/>
      <sz val="16.0"/>
      <color rgb="FF0D4A42"/>
      <name val="Calibri"/>
    </font>
    <font>
      <b/>
      <sz val="16.0"/>
      <color rgb="FF1A3A6A"/>
      <name val="Calibri"/>
    </font>
    <font>
      <b/>
      <sz val="10.0"/>
      <color rgb="FFCC5500"/>
      <name val="Arial"/>
    </font>
    <font>
      <b/>
      <sz val="16.0"/>
      <color rgb="FF4A6010"/>
      <name val="Calibri"/>
    </font>
    <font>
      <b/>
      <sz val="16.0"/>
      <color rgb="FF922B21"/>
      <name val="Calibri"/>
    </font>
    <font>
      <sz val="9.0"/>
      <color rgb="FF145A32"/>
      <name val="Calibri"/>
    </font>
    <font>
      <sz val="9.0"/>
      <color rgb="FF6C3483"/>
      <name val="Calibri"/>
    </font>
    <font>
      <sz val="9.0"/>
      <color rgb="FF0E6655"/>
      <name val="Calibri"/>
    </font>
    <font>
      <sz val="9.0"/>
      <color rgb="FF784212"/>
      <name val="Calibri"/>
    </font>
    <font>
      <b/>
      <sz val="16.0"/>
      <color rgb="FF145A32"/>
      <name val="Calibri"/>
    </font>
    <font>
      <b/>
      <sz val="16.0"/>
      <color rgb="FF6C3483"/>
      <name val="Calibri"/>
    </font>
    <font>
      <b/>
      <sz val="16.0"/>
      <color rgb="FF0E6655"/>
      <name val="Calibri"/>
    </font>
    <font>
      <sz val="11.0"/>
      <color rgb="FF111111"/>
      <name val="Arial"/>
    </font>
    <font>
      <color rgb="FF111111"/>
      <name val="Arial"/>
    </font>
    <font>
      <b/>
      <sz val="16.0"/>
      <color rgb="FF784212"/>
      <name val="Calibri"/>
    </font>
    <font>
      <color rgb="FF1A7A6E"/>
      <name val="Arial"/>
    </font>
    <font>
      <b/>
      <sz val="12.0"/>
      <color rgb="FFFFFFFF"/>
      <name val="Calibri"/>
    </font>
    <font>
      <i/>
      <sz val="8.0"/>
      <color rgb="FF666666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D4A42"/>
        <bgColor rgb="FF0D4A42"/>
      </patternFill>
    </fill>
    <fill>
      <patternFill patternType="solid">
        <fgColor rgb="FFFFFFFF"/>
        <bgColor rgb="FFFFFFFF"/>
      </patternFill>
    </fill>
    <fill>
      <patternFill patternType="solid">
        <fgColor rgb="FF1A7A6E"/>
        <bgColor rgb="FF1A7A6E"/>
      </patternFill>
    </fill>
    <fill>
      <patternFill patternType="solid">
        <fgColor rgb="FFF4F6F4"/>
        <bgColor rgb="FFF4F6F4"/>
      </patternFill>
    </fill>
    <fill>
      <patternFill patternType="solid">
        <fgColor rgb="FFD0EEEA"/>
        <bgColor rgb="FFD0EEEA"/>
      </patternFill>
    </fill>
    <fill>
      <patternFill patternType="solid">
        <fgColor rgb="FFD6EAF8"/>
        <bgColor rgb="FFD6EAF8"/>
      </patternFill>
    </fill>
    <fill>
      <patternFill patternType="solid">
        <fgColor rgb="FFEBF5D0"/>
        <bgColor rgb="FFEBF5D0"/>
      </patternFill>
    </fill>
    <fill>
      <patternFill patternType="solid">
        <fgColor rgb="FFFDEDEC"/>
        <bgColor rgb="FFFDEDEC"/>
      </patternFill>
    </fill>
    <fill>
      <patternFill patternType="solid">
        <fgColor rgb="FFEAFAF1"/>
        <bgColor rgb="FFEAFAF1"/>
      </patternFill>
    </fill>
    <fill>
      <patternFill patternType="solid">
        <fgColor rgb="FFF4ECF7"/>
        <bgColor rgb="FFF4ECF7"/>
      </patternFill>
    </fill>
    <fill>
      <patternFill patternType="solid">
        <fgColor rgb="FFE8F8F5"/>
        <bgColor rgb="FFE8F8F5"/>
      </patternFill>
    </fill>
    <fill>
      <patternFill patternType="solid">
        <fgColor rgb="FFFEF5E7"/>
        <bgColor rgb="FFFEF5E7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D4A42"/>
      </left>
      <right style="thin">
        <color rgb="FF0D4A42"/>
      </right>
      <top style="thin">
        <color rgb="FF0D4A42"/>
      </top>
      <bottom style="thin">
        <color rgb="FF0D4A42"/>
      </bottom>
    </border>
    <border>
      <left style="thin">
        <color rgb="FFB0C4BE"/>
      </left>
      <right style="thin">
        <color rgb="FFB0C4BE"/>
      </right>
      <top style="thin">
        <color rgb="FFB0C4BE"/>
      </top>
      <bottom style="thin">
        <color rgb="FFB0C4BE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5" fillId="3" fontId="6" numFmtId="4" xfId="0" applyAlignment="1" applyBorder="1" applyFill="1" applyFont="1" applyNumberFormat="1">
      <alignment horizontal="center" shrinkToFit="0" vertical="center" wrapText="0"/>
    </xf>
    <xf borderId="5" fillId="3" fontId="6" numFmtId="3" xfId="0" applyAlignment="1" applyBorder="1" applyFill="1" applyFont="1" applyNumberFormat="1">
      <alignment horizontal="center" shrinkToFit="0" vertical="center" wrapText="0"/>
    </xf>
    <xf borderId="5" fillId="5" fontId="6" numFmtId="0" xfId="0" applyAlignment="1" applyBorder="1" applyFill="1" applyFont="1">
      <alignment horizontal="center" shrinkToFit="0" vertical="center" wrapText="0"/>
    </xf>
    <xf borderId="5" fillId="5" fontId="6" numFmtId="4" xfId="0" applyAlignment="1" applyBorder="1" applyFill="1" applyFont="1" applyNumberFormat="1">
      <alignment horizontal="center" shrinkToFit="0" vertical="center" wrapText="0"/>
    </xf>
    <xf borderId="6" fillId="6" fontId="8" numFmtId="0" xfId="0" applyAlignment="1" applyBorder="1" applyFill="1" applyFont="1">
      <alignment horizontal="center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5" fontId="6" numFmtId="0" xfId="0" applyAlignment="1" applyBorder="1" applyFill="1" applyFont="1">
      <alignment horizontal="center" shrinkToFit="0" vertical="center" wrapText="0"/>
    </xf>
    <xf borderId="6" fillId="7" fontId="9" numFmtId="0" xfId="0" applyAlignment="1" applyBorder="1" applyFill="1" applyFont="1">
      <alignment horizontal="center" shrinkToFit="0" vertical="center" wrapText="0"/>
    </xf>
    <xf borderId="5" fillId="6" fontId="10" numFmtId="0" xfId="0" applyAlignment="1" applyBorder="1" applyFill="1" applyFont="1">
      <alignment horizontal="center" shrinkToFit="0" vertical="center" wrapText="0"/>
    </xf>
    <xf borderId="6" fillId="8" fontId="11" numFmtId="0" xfId="0" applyAlignment="1" applyBorder="1" applyFill="1" applyFont="1">
      <alignment horizontal="center" shrinkToFit="0" vertical="center" wrapText="0"/>
    </xf>
    <xf borderId="6" fillId="9" fontId="12" numFmtId="0" xfId="0" applyAlignment="1" applyBorder="1" applyFill="1" applyFont="1">
      <alignment horizontal="center" shrinkToFit="0" vertical="center" wrapText="0"/>
    </xf>
    <xf borderId="5" fillId="5" fontId="6" numFmtId="3" xfId="0" applyAlignment="1" applyBorder="1" applyFill="1" applyFont="1" applyNumberFormat="1">
      <alignment horizontal="center" shrinkToFit="0" vertical="center" wrapText="0"/>
    </xf>
    <xf borderId="5" fillId="3" fontId="10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5" fillId="5" fontId="6" numFmtId="4" xfId="0" applyAlignment="1" applyBorder="1" applyFill="1" applyFont="1" applyNumberFormat="1">
      <alignment horizontal="center" readingOrder="0" shrinkToFit="0" vertical="center" wrapText="0"/>
    </xf>
    <xf borderId="6" fillId="6" fontId="13" numFmtId="3" xfId="0" applyAlignment="1" applyBorder="1" applyFill="1" applyFont="1" applyNumberFormat="1">
      <alignment horizontal="center" shrinkToFit="0" vertical="center" wrapText="0"/>
    </xf>
    <xf borderId="5" fillId="5" fontId="10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ill="1" applyFont="1">
      <alignment shrinkToFit="0" vertical="bottom" wrapText="0"/>
    </xf>
    <xf borderId="5" fillId="3" fontId="6" numFmtId="164" xfId="0" applyAlignment="1" applyBorder="1" applyFill="1" applyFont="1" applyNumberFormat="1">
      <alignment horizontal="center" shrinkToFit="0" vertical="center" wrapText="0"/>
    </xf>
    <xf borderId="6" fillId="7" fontId="14" numFmtId="3" xfId="0" applyAlignment="1" applyBorder="1" applyFill="1" applyFont="1" applyNumberFormat="1">
      <alignment horizontal="center" shrinkToFit="0" vertical="center" wrapText="0"/>
    </xf>
    <xf borderId="5" fillId="3" fontId="15" numFmtId="0" xfId="0" applyAlignment="1" applyBorder="1" applyFill="1" applyFont="1">
      <alignment horizontal="center" shrinkToFit="0" vertical="center" wrapText="0"/>
    </xf>
    <xf borderId="5" fillId="5" fontId="6" numFmtId="164" xfId="0" applyAlignment="1" applyBorder="1" applyFill="1" applyFont="1" applyNumberFormat="1">
      <alignment horizontal="center" shrinkToFit="0" vertical="center" wrapText="0"/>
    </xf>
    <xf borderId="6" fillId="8" fontId="16" numFmtId="3" xfId="0" applyAlignment="1" applyBorder="1" applyFill="1" applyFont="1" applyNumberFormat="1">
      <alignment horizontal="center" shrinkToFit="0" vertical="center" wrapText="0"/>
    </xf>
    <xf borderId="6" fillId="9" fontId="17" numFmtId="4" xfId="0" applyAlignment="1" applyBorder="1" applyFill="1" applyFont="1" applyNumberFormat="1">
      <alignment horizontal="center"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6" fillId="10" fontId="18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center" shrinkToFit="0" vertical="bottom" wrapText="0"/>
    </xf>
    <xf borderId="6" fillId="11" fontId="19" numFmtId="0" xfId="0" applyAlignment="1" applyBorder="1" applyFill="1" applyFont="1">
      <alignment horizontal="center" shrinkToFit="0" vertical="center" wrapText="0"/>
    </xf>
    <xf borderId="6" fillId="12" fontId="20" numFmtId="0" xfId="0" applyAlignment="1" applyBorder="1" applyFill="1" applyFont="1">
      <alignment horizontal="center" shrinkToFit="0" vertical="center" wrapText="0"/>
    </xf>
    <xf borderId="5" fillId="3" fontId="6" numFmtId="0" xfId="0" applyAlignment="1" applyBorder="1" applyFill="1" applyFont="1">
      <alignment horizontal="center" readingOrder="0" shrinkToFit="0" vertical="bottom" wrapText="0"/>
    </xf>
    <xf borderId="5" fillId="3" fontId="6" numFmtId="165" xfId="0" applyAlignment="1" applyBorder="1" applyFill="1" applyFont="1" applyNumberFormat="1">
      <alignment horizontal="center" readingOrder="0" shrinkToFit="0" vertical="bottom" wrapText="0"/>
    </xf>
    <xf borderId="5" fillId="3" fontId="6" numFmtId="166" xfId="0" applyAlignment="1" applyBorder="1" applyFill="1" applyFont="1" applyNumberFormat="1">
      <alignment horizontal="center" shrinkToFit="0" vertical="center" wrapText="0"/>
    </xf>
    <xf borderId="6" fillId="13" fontId="21" numFmtId="0" xfId="0" applyAlignment="1" applyBorder="1" applyFill="1" applyFont="1">
      <alignment horizontal="center" shrinkToFit="0" vertical="center" wrapText="0"/>
    </xf>
    <xf borderId="5" fillId="5" fontId="6" numFmtId="167" xfId="0" applyAlignment="1" applyBorder="1" applyFill="1" applyFont="1" applyNumberFormat="1">
      <alignment horizontal="center" shrinkToFit="0" vertical="center" wrapText="0"/>
    </xf>
    <xf borderId="5" fillId="5" fontId="6" numFmtId="0" xfId="0" applyAlignment="1" applyBorder="1" applyFill="1" applyFont="1">
      <alignment horizontal="center" shrinkToFit="0" vertical="bottom" wrapText="0"/>
    </xf>
    <xf borderId="5" fillId="5" fontId="6" numFmtId="165" xfId="0" applyAlignment="1" applyBorder="1" applyFill="1" applyFont="1" applyNumberFormat="1">
      <alignment horizontal="center" shrinkToFit="0" vertical="bottom" wrapText="0"/>
    </xf>
    <xf borderId="5" fillId="5" fontId="6" numFmtId="168" xfId="0" applyAlignment="1" applyBorder="1" applyFill="1" applyFont="1" applyNumberFormat="1">
      <alignment horizontal="center" shrinkToFit="0" vertical="center" wrapText="0"/>
    </xf>
    <xf borderId="5" fillId="5" fontId="6" numFmtId="166" xfId="0" applyAlignment="1" applyBorder="1" applyFill="1" applyFont="1" applyNumberFormat="1">
      <alignment horizontal="center" shrinkToFit="0" vertical="center" wrapText="0"/>
    </xf>
    <xf borderId="5" fillId="3" fontId="6" numFmtId="0" xfId="0" applyAlignment="1" applyBorder="1" applyFill="1" applyFont="1">
      <alignment horizontal="center" shrinkToFit="0" vertical="bottom" wrapText="0"/>
    </xf>
    <xf borderId="5" fillId="3" fontId="6" numFmtId="165" xfId="0" applyAlignment="1" applyBorder="1" applyFill="1" applyFont="1" applyNumberFormat="1">
      <alignment horizontal="center" shrinkToFit="0" vertical="bottom" wrapText="0"/>
    </xf>
    <xf borderId="5" fillId="3" fontId="6" numFmtId="167" xfId="0" applyAlignment="1" applyBorder="1" applyFill="1" applyFont="1" applyNumberFormat="1">
      <alignment horizontal="center" shrinkToFit="0" vertical="center" wrapText="0"/>
    </xf>
    <xf borderId="6" fillId="10" fontId="22" numFmtId="3" xfId="0" applyAlignment="1" applyBorder="1" applyFill="1" applyFont="1" applyNumberFormat="1">
      <alignment horizontal="center" shrinkToFit="0" vertical="center" wrapText="0"/>
    </xf>
    <xf borderId="5" fillId="3" fontId="6" numFmtId="168" xfId="0" applyAlignment="1" applyBorder="1" applyFill="1" applyFont="1" applyNumberFormat="1">
      <alignment horizontal="center" shrinkToFit="0" vertical="center" wrapText="0"/>
    </xf>
    <xf borderId="9" fillId="5" fontId="6" numFmtId="3" xfId="0" applyAlignment="1" applyBorder="1" applyFill="1" applyFont="1" applyNumberFormat="1">
      <alignment horizontal="center" shrinkToFit="0" vertical="center" wrapText="0"/>
    </xf>
    <xf borderId="9" fillId="6" fontId="10" numFmtId="0" xfId="0" applyAlignment="1" applyBorder="1" applyFill="1" applyFont="1">
      <alignment horizontal="center" shrinkToFit="0" vertical="center" wrapText="0"/>
    </xf>
    <xf borderId="9" fillId="5" fontId="6" numFmtId="166" xfId="0" applyAlignment="1" applyBorder="1" applyFill="1" applyFont="1" applyNumberFormat="1">
      <alignment horizontal="center" shrinkToFit="0" vertical="center" wrapText="0"/>
    </xf>
    <xf borderId="9" fillId="3" fontId="6" numFmtId="167" xfId="0" applyAlignment="1" applyBorder="1" applyFill="1" applyFont="1" applyNumberFormat="1">
      <alignment horizontal="center" shrinkToFit="0" vertical="center" wrapText="0"/>
    </xf>
    <xf borderId="9" fillId="3" fontId="6" numFmtId="0" xfId="0" applyAlignment="1" applyBorder="1" applyFill="1" applyFont="1">
      <alignment horizontal="center" shrinkToFit="0" vertical="center" wrapText="0"/>
    </xf>
    <xf borderId="9" fillId="3" fontId="6" numFmtId="3" xfId="0" applyAlignment="1" applyBorder="1" applyFill="1" applyFont="1" applyNumberFormat="1">
      <alignment horizontal="center" shrinkToFit="0" vertical="center" wrapText="0"/>
    </xf>
    <xf borderId="9" fillId="3" fontId="10" numFmtId="0" xfId="0" applyAlignment="1" applyBorder="1" applyFill="1" applyFont="1">
      <alignment horizontal="center" shrinkToFit="0" vertical="center" wrapText="0"/>
    </xf>
    <xf borderId="6" fillId="11" fontId="23" numFmtId="1" xfId="0" applyAlignment="1" applyBorder="1" applyFill="1" applyFont="1" applyNumberFormat="1">
      <alignment horizontal="center" shrinkToFit="0" vertical="center" wrapText="0"/>
    </xf>
    <xf borderId="9" fillId="3" fontId="6" numFmtId="168" xfId="0" applyAlignment="1" applyBorder="1" applyFill="1" applyFont="1" applyNumberFormat="1">
      <alignment horizontal="center" shrinkToFit="0" vertical="center" wrapText="0"/>
    </xf>
    <xf borderId="6" fillId="12" fontId="24" numFmtId="1" xfId="0" applyAlignment="1" applyBorder="1" applyFill="1" applyFont="1" applyNumberFormat="1">
      <alignment horizontal="center" shrinkToFit="0" vertical="center" wrapText="0"/>
    </xf>
    <xf borderId="9" fillId="5" fontId="25" numFmtId="0" xfId="0" applyAlignment="1" applyBorder="1" applyFill="1" applyFont="1">
      <alignment horizontal="center" readingOrder="0" shrinkToFit="0" vertical="center" wrapText="0"/>
    </xf>
    <xf borderId="0" fillId="5" fontId="26" numFmtId="0" xfId="0" applyAlignment="1" applyFill="1" applyFont="1">
      <alignment horizontal="center"/>
    </xf>
    <xf borderId="0" fillId="5" fontId="26" numFmtId="3" xfId="0" applyAlignment="1" applyFill="1" applyFont="1" applyNumberFormat="1">
      <alignment horizontal="center"/>
    </xf>
    <xf borderId="6" fillId="13" fontId="27" numFmtId="3" xfId="0" applyAlignment="1" applyBorder="1" applyFill="1" applyFont="1" applyNumberFormat="1">
      <alignment horizontal="center" shrinkToFit="0" vertical="center" wrapText="0"/>
    </xf>
    <xf borderId="9" fillId="3" fontId="6" numFmtId="169" xfId="0" applyAlignment="1" applyBorder="1" applyFill="1" applyFont="1" applyNumberFormat="1">
      <alignment horizontal="center" shrinkToFit="0" vertical="center" wrapText="0"/>
    </xf>
    <xf borderId="0" fillId="6" fontId="28" numFmtId="0" xfId="0" applyAlignment="1" applyFill="1" applyFont="1">
      <alignment horizontal="center" readingOrder="0"/>
    </xf>
    <xf borderId="0" fillId="5" fontId="26" numFmtId="166" xfId="0" applyAlignment="1" applyFill="1" applyFont="1" applyNumberFormat="1">
      <alignment horizontal="center"/>
    </xf>
    <xf borderId="0" fillId="5" fontId="26" numFmtId="0" xfId="0" applyAlignment="1" applyFill="1" applyFont="1">
      <alignment horizontal="center" readingOrder="0"/>
    </xf>
    <xf borderId="0" fillId="5" fontId="1" numFmtId="0" xfId="0" applyFill="1" applyFont="1"/>
    <xf borderId="0" fillId="0" fontId="1" numFmtId="0" xfId="0" applyAlignment="1" applyFont="1">
      <alignment vertical="bottom"/>
    </xf>
    <xf borderId="0" fillId="5" fontId="26" numFmtId="3" xfId="0" applyAlignment="1" applyFill="1" applyFont="1" applyNumberFormat="1">
      <alignment horizontal="center" readingOrder="0"/>
    </xf>
    <xf borderId="0" fillId="5" fontId="26" numFmtId="166" xfId="0" applyAlignment="1" applyFill="1" applyFont="1" applyNumberFormat="1">
      <alignment horizontal="center" readingOrder="0"/>
    </xf>
    <xf borderId="1" fillId="2" fontId="29" numFmtId="0" xfId="0" applyAlignment="1" applyBorder="1" applyFill="1" applyFont="1">
      <alignment horizontal="center" shrinkToFit="0" vertical="center" wrapText="0"/>
    </xf>
    <xf borderId="9" fillId="3" fontId="26" numFmtId="169" xfId="0" applyAlignment="1" applyBorder="1" applyFill="1" applyFont="1" applyNumberFormat="1">
      <alignment horizontal="center"/>
    </xf>
    <xf borderId="9" fillId="3" fontId="26" numFmtId="0" xfId="0" applyAlignment="1" applyBorder="1" applyFill="1" applyFont="1">
      <alignment horizontal="center"/>
    </xf>
    <xf borderId="0" fillId="0" fontId="1" numFmtId="0" xfId="0" applyAlignment="1" applyFont="1">
      <alignment horizontal="center" shrinkToFit="0" vertical="bottom" wrapText="0"/>
    </xf>
    <xf borderId="4" fillId="4" fontId="5" numFmtId="0" xfId="0" applyAlignment="1" applyBorder="1" applyFill="1" applyFont="1">
      <alignment horizontal="center" shrinkToFit="0" vertical="center" wrapText="0"/>
    </xf>
    <xf borderId="9" fillId="3" fontId="26" numFmtId="3" xfId="0" applyAlignment="1" applyBorder="1" applyFill="1" applyFont="1" applyNumberFormat="1">
      <alignment horizontal="center"/>
    </xf>
    <xf borderId="9" fillId="3" fontId="28" numFmtId="0" xfId="0" applyAlignment="1" applyBorder="1" applyFill="1" applyFont="1">
      <alignment horizontal="center" readingOrder="0"/>
    </xf>
    <xf borderId="4" fillId="4" fontId="5" numFmtId="3" xfId="0" applyAlignment="1" applyBorder="1" applyFill="1" applyFont="1" applyNumberFormat="1">
      <alignment horizontal="right" shrinkToFit="0" vertical="center" wrapText="0"/>
    </xf>
    <xf borderId="0" fillId="3" fontId="26" numFmtId="169" xfId="0" applyAlignment="1" applyFill="1" applyFont="1" applyNumberFormat="1">
      <alignment horizontal="center" readingOrder="0"/>
    </xf>
    <xf borderId="0" fillId="3" fontId="26" numFmtId="0" xfId="0" applyAlignment="1" applyFill="1" applyFont="1">
      <alignment horizontal="center" readingOrder="0"/>
    </xf>
    <xf borderId="6" fillId="6" fontId="8" numFmtId="3" xfId="0" applyAlignment="1" applyBorder="1" applyFill="1" applyFont="1" applyNumberFormat="1">
      <alignment horizontal="center" shrinkToFit="0" vertical="center" wrapText="0"/>
    </xf>
    <xf borderId="0" fillId="3" fontId="26" numFmtId="3" xfId="0" applyAlignment="1" applyFill="1" applyFont="1" applyNumberFormat="1">
      <alignment horizontal="center" readingOrder="0"/>
    </xf>
    <xf borderId="0" fillId="3" fontId="28" numFmtId="0" xfId="0" applyAlignment="1" applyFill="1" applyFont="1">
      <alignment horizontal="center" readingOrder="0"/>
    </xf>
    <xf borderId="6" fillId="7" fontId="9" numFmtId="3" xfId="0" applyAlignment="1" applyBorder="1" applyFill="1" applyFont="1" applyNumberFormat="1">
      <alignment horizontal="center" shrinkToFit="0" vertical="center" wrapText="0"/>
    </xf>
    <xf borderId="6" fillId="8" fontId="11" numFmtId="3" xfId="0" applyAlignment="1" applyBorder="1" applyFill="1" applyFont="1" applyNumberFormat="1">
      <alignment horizontal="center" shrinkToFit="0" vertical="center" wrapText="0"/>
    </xf>
    <xf borderId="6" fillId="9" fontId="12" numFmtId="3" xfId="0" applyAlignment="1" applyBorder="1" applyFill="1" applyFont="1" applyNumberFormat="1">
      <alignment horizontal="center" shrinkToFit="0" vertical="center" wrapText="0"/>
    </xf>
    <xf borderId="5" fillId="3" fontId="6" numFmtId="3" xfId="0" applyAlignment="1" applyBorder="1" applyFill="1" applyFont="1" applyNumberFormat="1">
      <alignment horizontal="center" readingOrder="0" shrinkToFit="0" vertical="bottom" wrapText="0"/>
    </xf>
    <xf borderId="0" fillId="0" fontId="1" numFmtId="170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5" fillId="3" fontId="6" numFmtId="3" xfId="0" applyAlignment="1" applyBorder="1" applyFill="1" applyFont="1" applyNumberFormat="1">
      <alignment horizontal="center" shrinkToFit="0" vertical="bottom" wrapText="0"/>
    </xf>
    <xf borderId="5" fillId="6" fontId="10" numFmtId="0" xfId="0" applyAlignment="1" applyBorder="1" applyFill="1" applyFont="1">
      <alignment horizontal="center" readingOrder="0" shrinkToFit="0" vertical="bottom" wrapText="0"/>
    </xf>
    <xf borderId="6" fillId="10" fontId="18" numFmtId="3" xfId="0" applyAlignment="1" applyBorder="1" applyFill="1" applyFont="1" applyNumberFormat="1">
      <alignment horizontal="center" shrinkToFit="0" vertical="center" wrapText="0"/>
    </xf>
    <xf borderId="6" fillId="11" fontId="19" numFmtId="3" xfId="0" applyAlignment="1" applyBorder="1" applyFill="1" applyFont="1" applyNumberFormat="1">
      <alignment horizontal="center" shrinkToFit="0" vertical="center" wrapText="0"/>
    </xf>
    <xf borderId="5" fillId="3" fontId="6" numFmtId="170" xfId="0" applyAlignment="1" applyBorder="1" applyFill="1" applyFont="1" applyNumberFormat="1">
      <alignment horizontal="center" readingOrder="0" shrinkToFit="0" vertical="bottom" wrapText="0"/>
    </xf>
    <xf borderId="5" fillId="3" fontId="6" numFmtId="0" xfId="0" applyAlignment="1" applyBorder="1" applyFill="1" applyFont="1">
      <alignment horizontal="center" readingOrder="0" shrinkToFit="0" vertical="center" wrapText="0"/>
    </xf>
    <xf borderId="5" fillId="5" fontId="6" numFmtId="3" xfId="0" applyAlignment="1" applyBorder="1" applyFill="1" applyFont="1" applyNumberFormat="1">
      <alignment horizontal="center" shrinkToFit="0" vertical="bottom" wrapText="0"/>
    </xf>
    <xf borderId="5" fillId="6" fontId="10" numFmtId="0" xfId="0" applyAlignment="1" applyBorder="1" applyFill="1" applyFont="1">
      <alignment horizontal="center" shrinkToFit="0" vertical="bottom" wrapText="0"/>
    </xf>
    <xf borderId="4" fillId="4" fontId="5" numFmtId="0" xfId="0" applyAlignment="1" applyBorder="1" applyFill="1" applyFont="1">
      <alignment horizontal="center" shrinkToFit="0" vertical="bottom" wrapText="0"/>
    </xf>
    <xf borderId="4" fillId="4" fontId="5" numFmtId="3" xfId="0" applyAlignment="1" applyBorder="1" applyFill="1" applyFont="1" applyNumberForma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5" fillId="5" fontId="6" numFmtId="3" xfId="0" applyAlignment="1" applyBorder="1" applyFill="1" applyFont="1" applyNumberFormat="1">
      <alignment horizontal="center" readingOrder="0" shrinkToFit="0" vertical="center" wrapText="0"/>
    </xf>
    <xf borderId="0" fillId="0" fontId="3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A42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7.86"/>
    <col customWidth="1" min="3" max="3" width="18.0"/>
    <col customWidth="1" min="4" max="4" width="16.0"/>
    <col customWidth="1" min="5" max="5" width="7.43"/>
    <col customWidth="1" min="6" max="6" width="16.0"/>
    <col customWidth="1" min="7" max="7" width="7.57"/>
    <col customWidth="1" min="8" max="8" width="16.0"/>
    <col customWidth="1" min="9" max="9" width="2.0"/>
    <col customWidth="1" min="10" max="11" width="16.0"/>
    <col customWidth="1" min="12" max="12" width="2.0"/>
    <col customWidth="1" min="13" max="15" width="16.0"/>
    <col customWidth="1" min="16" max="17" width="2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1"/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8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3" t="s">
        <v>22</v>
      </c>
      <c r="C5" s="14"/>
      <c r="D5" s="15"/>
      <c r="E5" s="1"/>
      <c r="F5" s="17" t="s">
        <v>25</v>
      </c>
      <c r="G5" s="14"/>
      <c r="H5" s="15"/>
      <c r="I5" s="1"/>
      <c r="J5" s="19" t="s">
        <v>31</v>
      </c>
      <c r="K5" s="14"/>
      <c r="L5" s="15"/>
      <c r="M5" s="1"/>
      <c r="N5" s="20" t="s">
        <v>43</v>
      </c>
      <c r="O5" s="14"/>
      <c r="P5" s="15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26">
        <f>'Revenue Split'!B24</f>
        <v>676771</v>
      </c>
      <c r="C6" s="14"/>
      <c r="D6" s="15"/>
      <c r="E6" s="1"/>
      <c r="F6" s="30">
        <f>'Revenue Split'!C24</f>
        <v>338385</v>
      </c>
      <c r="G6" s="14"/>
      <c r="H6" s="15"/>
      <c r="I6" s="1"/>
      <c r="J6" s="33">
        <f>'Revenue Split'!D24</f>
        <v>338385</v>
      </c>
      <c r="K6" s="14"/>
      <c r="L6" s="15"/>
      <c r="M6" s="1"/>
      <c r="N6" s="34">
        <f>Expenses!C10</f>
        <v>14247.22</v>
      </c>
      <c r="O6" s="14"/>
      <c r="P6" s="15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36" t="s">
        <v>86</v>
      </c>
      <c r="C8" s="14"/>
      <c r="D8" s="15"/>
      <c r="E8" s="1"/>
      <c r="F8" s="38" t="s">
        <v>91</v>
      </c>
      <c r="G8" s="14"/>
      <c r="H8" s="15"/>
      <c r="I8" s="1"/>
      <c r="J8" s="39" t="s">
        <v>93</v>
      </c>
      <c r="K8" s="14"/>
      <c r="L8" s="15"/>
      <c r="M8" s="1"/>
      <c r="N8" s="43" t="s">
        <v>96</v>
      </c>
      <c r="O8" s="14"/>
      <c r="P8" s="15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52">
        <f>'Revenue Split'!C24-Expenses!C10-'Send Money'!B12</f>
        <v>309687.78</v>
      </c>
      <c r="C9" s="14"/>
      <c r="D9" s="15"/>
      <c r="E9" s="1"/>
      <c r="F9" s="61">
        <f>COUNTA(Projects!B3:B59)</f>
        <v>23</v>
      </c>
      <c r="G9" s="14"/>
      <c r="H9" s="15"/>
      <c r="I9" s="1"/>
      <c r="J9" s="63">
        <f>COUNTIF(Projects!G3:G59,"Received")+COUNTIF(Projects!G3:G59,"Recived")+COUNTIF(Projects!G3:G59,"Received ")</f>
        <v>22</v>
      </c>
      <c r="K9" s="14"/>
      <c r="L9" s="15"/>
      <c r="M9" s="1"/>
      <c r="N9" s="67">
        <f>'Send Money'!B12</f>
        <v>14450</v>
      </c>
      <c r="O9" s="14"/>
      <c r="P9" s="15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76" t="s">
        <v>116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79"/>
      <c r="C12" s="1"/>
      <c r="D12" s="1"/>
      <c r="E12" s="1"/>
      <c r="F12" s="79"/>
      <c r="G12" s="1"/>
      <c r="H12" s="1"/>
      <c r="I12" s="1"/>
      <c r="J12" s="79"/>
      <c r="K12" s="1"/>
      <c r="L12" s="1"/>
      <c r="M12" s="1"/>
      <c r="N12" s="7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86" t="s">
        <v>22</v>
      </c>
      <c r="C13" s="14"/>
      <c r="D13" s="15"/>
      <c r="E13" s="1"/>
      <c r="F13" s="89" t="s">
        <v>117</v>
      </c>
      <c r="G13" s="14"/>
      <c r="H13" s="15"/>
      <c r="I13" s="1"/>
      <c r="J13" s="90" t="s">
        <v>118</v>
      </c>
      <c r="K13" s="14"/>
      <c r="L13" s="15"/>
      <c r="M13" s="1"/>
      <c r="N13" s="91" t="s">
        <v>43</v>
      </c>
      <c r="O13" s="14"/>
      <c r="P13" s="1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26">
        <f>'Revenue Split'!B48</f>
        <v>20000</v>
      </c>
      <c r="C14" s="14"/>
      <c r="D14" s="15"/>
      <c r="E14" s="1"/>
      <c r="F14" s="30">
        <f>'Revenue Split'!C48</f>
        <v>6000</v>
      </c>
      <c r="G14" s="14"/>
      <c r="H14" s="15"/>
      <c r="I14" s="1"/>
      <c r="J14" s="33">
        <f>'Revenue Split'!D48+'Revenue Split'!E48+'Revenue Split'!F48</f>
        <v>14000</v>
      </c>
      <c r="K14" s="14"/>
      <c r="L14" s="15"/>
      <c r="M14" s="1"/>
      <c r="N14" s="34">
        <f>Expenses!C29</f>
        <v>0</v>
      </c>
      <c r="O14" s="14"/>
      <c r="P14" s="1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79"/>
      <c r="C15" s="1"/>
      <c r="D15" s="1"/>
      <c r="E15" s="1"/>
      <c r="F15" s="7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97" t="s">
        <v>86</v>
      </c>
      <c r="C16" s="14"/>
      <c r="D16" s="15"/>
      <c r="E16" s="1"/>
      <c r="F16" s="98" t="s">
        <v>91</v>
      </c>
      <c r="G16" s="14"/>
      <c r="H16" s="15"/>
      <c r="I16" s="1"/>
      <c r="J16" s="39" t="s">
        <v>93</v>
      </c>
      <c r="K16" s="14"/>
      <c r="L16" s="15"/>
      <c r="M16" s="1"/>
      <c r="N16" s="43" t="s">
        <v>96</v>
      </c>
      <c r="O16" s="14"/>
      <c r="P16" s="1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52">
        <f>'Revenue Split'!C48-Expenses!C29-'Send Money'!B31</f>
        <v>6000</v>
      </c>
      <c r="C17" s="14"/>
      <c r="D17" s="15"/>
      <c r="E17" s="1"/>
      <c r="F17" s="61">
        <f>COUNTA('Revenue Split'!A28:A47)</f>
        <v>1</v>
      </c>
      <c r="G17" s="14"/>
      <c r="H17" s="15"/>
      <c r="I17" s="1"/>
      <c r="J17" s="63">
        <f>COUNTIF('Revenue Split'!G28:G47,"Received")+COUNTIF('Revenue Split'!G28:G47,"Recived")+COUNTIF('Revenue Split'!G28:G47,"Received ")</f>
        <v>1</v>
      </c>
      <c r="K17" s="14"/>
      <c r="L17" s="15"/>
      <c r="M17" s="1"/>
      <c r="N17" s="67">
        <f>'Send Money'!B31</f>
        <v>0</v>
      </c>
      <c r="O17" s="14"/>
      <c r="P17" s="1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76" t="s">
        <v>129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3" t="s">
        <v>130</v>
      </c>
      <c r="C21" s="14"/>
      <c r="D21" s="15"/>
      <c r="E21" s="1"/>
      <c r="F21" s="36" t="s">
        <v>131</v>
      </c>
      <c r="G21" s="14"/>
      <c r="H21" s="15"/>
      <c r="I21" s="1"/>
      <c r="J21" s="38" t="s">
        <v>91</v>
      </c>
      <c r="K21" s="14"/>
      <c r="L21" s="15"/>
      <c r="M21" s="1"/>
      <c r="N21" s="39" t="s">
        <v>93</v>
      </c>
      <c r="O21" s="14"/>
      <c r="P21" s="1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/>
      <c r="B22" s="26">
        <f>'Revenue Split'!B24+'Revenue Split'!B48</f>
        <v>696771</v>
      </c>
      <c r="C22" s="14"/>
      <c r="D22" s="15"/>
      <c r="E22" s="1"/>
      <c r="F22" s="52">
        <f>'Revenue Split'!C24+'Revenue Split'!C48-Expenses!C10-'Send Money'!B12-Expenses!C29-'Send Money'!B31</f>
        <v>315687.78</v>
      </c>
      <c r="G22" s="14"/>
      <c r="H22" s="15"/>
      <c r="I22" s="1"/>
      <c r="J22" s="61">
        <f>COUNTA(Projects!B3:B59)</f>
        <v>23</v>
      </c>
      <c r="K22" s="14"/>
      <c r="L22" s="15"/>
      <c r="M22" s="1"/>
      <c r="N22" s="63">
        <f>COUNTIF(Projects!G3:G59,"Received")+COUNTIF(Projects!G3:G59,"Recived")+COUNTIF(Projects!G3:G59,"Received ")</f>
        <v>22</v>
      </c>
      <c r="O22" s="14"/>
      <c r="P22" s="1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44">
    <mergeCell ref="J5:L5"/>
    <mergeCell ref="J6:L6"/>
    <mergeCell ref="J8:L8"/>
    <mergeCell ref="N8:P8"/>
    <mergeCell ref="J9:L9"/>
    <mergeCell ref="N9:P9"/>
    <mergeCell ref="B2:Q2"/>
    <mergeCell ref="B3:Q3"/>
    <mergeCell ref="B5:D5"/>
    <mergeCell ref="F5:H5"/>
    <mergeCell ref="N5:P5"/>
    <mergeCell ref="F6:H6"/>
    <mergeCell ref="N6:P6"/>
    <mergeCell ref="B6:D6"/>
    <mergeCell ref="B8:D8"/>
    <mergeCell ref="F8:H8"/>
    <mergeCell ref="B9:D9"/>
    <mergeCell ref="F9:H9"/>
    <mergeCell ref="B11:Q11"/>
    <mergeCell ref="B13:D13"/>
    <mergeCell ref="N13:P13"/>
    <mergeCell ref="F16:H16"/>
    <mergeCell ref="J16:L16"/>
    <mergeCell ref="F17:H17"/>
    <mergeCell ref="J17:L17"/>
    <mergeCell ref="N17:P17"/>
    <mergeCell ref="B19:Q19"/>
    <mergeCell ref="F13:H13"/>
    <mergeCell ref="J13:L13"/>
    <mergeCell ref="B14:D14"/>
    <mergeCell ref="F14:H14"/>
    <mergeCell ref="J14:L14"/>
    <mergeCell ref="N14:P14"/>
    <mergeCell ref="N16:P16"/>
    <mergeCell ref="J21:L21"/>
    <mergeCell ref="J22:L22"/>
    <mergeCell ref="B16:D16"/>
    <mergeCell ref="B17:D17"/>
    <mergeCell ref="B21:D21"/>
    <mergeCell ref="F21:H21"/>
    <mergeCell ref="N21:P21"/>
    <mergeCell ref="B22:D22"/>
    <mergeCell ref="F22:H22"/>
    <mergeCell ref="N22:P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7A6E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3.0"/>
    <col customWidth="1" min="4" max="4" width="12.0"/>
    <col customWidth="1" min="5" max="5" width="14.0"/>
    <col customWidth="1" min="6" max="6" width="10.0"/>
    <col customWidth="1" min="7" max="8" width="16.0"/>
    <col customWidth="1" min="9" max="9" width="22.0"/>
    <col customWidth="1" min="10" max="10" width="14.0"/>
  </cols>
  <sheetData>
    <row r="1" ht="33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6" t="s">
        <v>26</v>
      </c>
      <c r="B2" s="6" t="s">
        <v>27</v>
      </c>
      <c r="C2" s="6" t="s">
        <v>28</v>
      </c>
      <c r="D2" s="6" t="s">
        <v>30</v>
      </c>
      <c r="E2" s="6" t="s">
        <v>32</v>
      </c>
      <c r="F2" s="6" t="s">
        <v>35</v>
      </c>
      <c r="G2" s="6" t="s">
        <v>38</v>
      </c>
      <c r="H2" s="6" t="s">
        <v>40</v>
      </c>
      <c r="I2" s="6" t="s">
        <v>41</v>
      </c>
      <c r="J2" s="6" t="s">
        <v>42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" t="s">
        <v>46</v>
      </c>
      <c r="B3" s="7" t="s">
        <v>47</v>
      </c>
      <c r="C3" s="7" t="s">
        <v>48</v>
      </c>
      <c r="D3" s="7" t="s">
        <v>49</v>
      </c>
      <c r="E3" s="10">
        <v>25000.0</v>
      </c>
      <c r="F3" s="7" t="s">
        <v>51</v>
      </c>
      <c r="G3" s="22" t="s">
        <v>29</v>
      </c>
      <c r="H3" s="7" t="s">
        <v>53</v>
      </c>
      <c r="I3" s="22" t="s">
        <v>29</v>
      </c>
      <c r="J3" s="7" t="s">
        <v>54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56</v>
      </c>
      <c r="B4" s="11" t="s">
        <v>57</v>
      </c>
      <c r="C4" s="11" t="s">
        <v>58</v>
      </c>
      <c r="D4" s="11" t="s">
        <v>59</v>
      </c>
      <c r="E4" s="21">
        <v>15000.0</v>
      </c>
      <c r="F4" s="11" t="s">
        <v>61</v>
      </c>
      <c r="G4" s="27" t="s">
        <v>29</v>
      </c>
      <c r="H4" s="11" t="s">
        <v>62</v>
      </c>
      <c r="I4" s="27" t="s">
        <v>29</v>
      </c>
      <c r="J4" s="11" t="s">
        <v>63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29">
        <v>46023.0</v>
      </c>
      <c r="B5" s="7" t="s">
        <v>65</v>
      </c>
      <c r="C5" s="7" t="s">
        <v>67</v>
      </c>
      <c r="D5" s="7" t="s">
        <v>49</v>
      </c>
      <c r="E5" s="10">
        <v>350.0</v>
      </c>
      <c r="F5" s="7" t="s">
        <v>69</v>
      </c>
      <c r="G5" s="31" t="s">
        <v>70</v>
      </c>
      <c r="H5" s="7"/>
      <c r="I5" s="7" t="s">
        <v>71</v>
      </c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32">
        <v>46023.0</v>
      </c>
      <c r="B6" s="11" t="s">
        <v>73</v>
      </c>
      <c r="C6" s="11" t="s">
        <v>74</v>
      </c>
      <c r="D6" s="11" t="s">
        <v>49</v>
      </c>
      <c r="E6" s="21">
        <v>40000.0</v>
      </c>
      <c r="F6" s="11" t="s">
        <v>51</v>
      </c>
      <c r="G6" s="27" t="s">
        <v>29</v>
      </c>
      <c r="H6" s="11" t="s">
        <v>75</v>
      </c>
      <c r="I6" s="27" t="s">
        <v>29</v>
      </c>
      <c r="J6" s="11" t="s">
        <v>76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7" t="s">
        <v>56</v>
      </c>
      <c r="B7" s="7" t="s">
        <v>78</v>
      </c>
      <c r="C7" s="7" t="s">
        <v>79</v>
      </c>
      <c r="D7" s="7" t="s">
        <v>49</v>
      </c>
      <c r="E7" s="10">
        <v>28600.0</v>
      </c>
      <c r="F7" s="7" t="s">
        <v>51</v>
      </c>
      <c r="G7" s="22" t="s">
        <v>29</v>
      </c>
      <c r="H7" s="7" t="s">
        <v>80</v>
      </c>
      <c r="I7" s="22" t="s">
        <v>29</v>
      </c>
      <c r="J7" s="7" t="s">
        <v>54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1" t="s">
        <v>46</v>
      </c>
      <c r="B8" s="11" t="s">
        <v>81</v>
      </c>
      <c r="C8" s="11" t="s">
        <v>82</v>
      </c>
      <c r="D8" s="11" t="s">
        <v>83</v>
      </c>
      <c r="E8" s="21">
        <v>29000.0</v>
      </c>
      <c r="F8" s="11" t="s">
        <v>51</v>
      </c>
      <c r="G8" s="27" t="s">
        <v>29</v>
      </c>
      <c r="H8" s="11" t="s">
        <v>72</v>
      </c>
      <c r="I8" s="27" t="s">
        <v>29</v>
      </c>
      <c r="J8" s="11" t="s">
        <v>37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7" t="s">
        <v>87</v>
      </c>
      <c r="B9" s="7" t="s">
        <v>88</v>
      </c>
      <c r="C9" s="7" t="s">
        <v>89</v>
      </c>
      <c r="D9" s="7" t="s">
        <v>49</v>
      </c>
      <c r="E9" s="10">
        <v>9382.0</v>
      </c>
      <c r="F9" s="7" t="s">
        <v>51</v>
      </c>
      <c r="G9" s="22" t="s">
        <v>29</v>
      </c>
      <c r="H9" s="7" t="s">
        <v>84</v>
      </c>
      <c r="I9" s="22" t="s">
        <v>29</v>
      </c>
      <c r="J9" s="7" t="s">
        <v>54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1" t="s">
        <v>87</v>
      </c>
      <c r="B10" s="11" t="s">
        <v>57</v>
      </c>
      <c r="C10" s="11" t="s">
        <v>58</v>
      </c>
      <c r="D10" s="11" t="s">
        <v>59</v>
      </c>
      <c r="E10" s="21">
        <v>15000.0</v>
      </c>
      <c r="F10" s="11" t="s">
        <v>61</v>
      </c>
      <c r="G10" s="27" t="s">
        <v>29</v>
      </c>
      <c r="H10" s="11" t="s">
        <v>62</v>
      </c>
      <c r="I10" s="27" t="s">
        <v>29</v>
      </c>
      <c r="J10" s="11" t="s">
        <v>63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7" t="s">
        <v>87</v>
      </c>
      <c r="B11" s="7" t="s">
        <v>78</v>
      </c>
      <c r="C11" s="7" t="s">
        <v>94</v>
      </c>
      <c r="D11" s="7" t="s">
        <v>49</v>
      </c>
      <c r="E11" s="10">
        <v>19250.0</v>
      </c>
      <c r="F11" s="7" t="s">
        <v>51</v>
      </c>
      <c r="G11" s="22" t="s">
        <v>29</v>
      </c>
      <c r="H11" s="7" t="s">
        <v>92</v>
      </c>
      <c r="I11" s="22" t="s">
        <v>29</v>
      </c>
      <c r="J11" s="7" t="s">
        <v>54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44">
        <v>46113.0</v>
      </c>
      <c r="B12" s="11" t="s">
        <v>97</v>
      </c>
      <c r="C12" s="11" t="s">
        <v>98</v>
      </c>
      <c r="D12" s="11" t="s">
        <v>49</v>
      </c>
      <c r="E12" s="21">
        <v>46334.0</v>
      </c>
      <c r="F12" s="11" t="s">
        <v>51</v>
      </c>
      <c r="G12" s="27" t="s">
        <v>29</v>
      </c>
      <c r="H12" s="47">
        <v>46118.0</v>
      </c>
      <c r="I12" s="27" t="s">
        <v>29</v>
      </c>
      <c r="J12" s="11" t="s">
        <v>63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51">
        <v>46113.0</v>
      </c>
      <c r="B13" s="7" t="s">
        <v>78</v>
      </c>
      <c r="C13" s="7" t="s">
        <v>94</v>
      </c>
      <c r="D13" s="7" t="s">
        <v>49</v>
      </c>
      <c r="E13" s="10">
        <v>33600.0</v>
      </c>
      <c r="F13" s="7" t="s">
        <v>51</v>
      </c>
      <c r="G13" s="22" t="s">
        <v>29</v>
      </c>
      <c r="H13" s="53">
        <v>46128.0</v>
      </c>
      <c r="I13" s="22" t="s">
        <v>29</v>
      </c>
      <c r="J13" s="7" t="s">
        <v>54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44">
        <v>46113.0</v>
      </c>
      <c r="B14" s="11" t="s">
        <v>57</v>
      </c>
      <c r="C14" s="11" t="s">
        <v>102</v>
      </c>
      <c r="D14" s="11" t="s">
        <v>59</v>
      </c>
      <c r="E14" s="21">
        <v>42199.0</v>
      </c>
      <c r="F14" s="11" t="s">
        <v>51</v>
      </c>
      <c r="G14" s="27" t="s">
        <v>29</v>
      </c>
      <c r="H14" s="47">
        <v>46136.0</v>
      </c>
      <c r="I14" s="27" t="s">
        <v>99</v>
      </c>
      <c r="J14" s="11" t="s">
        <v>104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51">
        <v>46113.0</v>
      </c>
      <c r="B15" s="7" t="s">
        <v>106</v>
      </c>
      <c r="C15" s="7" t="s">
        <v>98</v>
      </c>
      <c r="D15" s="7" t="s">
        <v>49</v>
      </c>
      <c r="E15" s="10">
        <v>80163.0</v>
      </c>
      <c r="F15" s="7" t="s">
        <v>51</v>
      </c>
      <c r="G15" s="22" t="s">
        <v>29</v>
      </c>
      <c r="H15" s="53">
        <v>46137.0</v>
      </c>
      <c r="I15" s="22" t="s">
        <v>29</v>
      </c>
      <c r="J15" s="7" t="s">
        <v>76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57">
        <v>46143.0</v>
      </c>
      <c r="B16" s="58" t="s">
        <v>107</v>
      </c>
      <c r="C16" s="58" t="s">
        <v>98</v>
      </c>
      <c r="D16" s="58" t="s">
        <v>49</v>
      </c>
      <c r="E16" s="59">
        <v>44401.0</v>
      </c>
      <c r="F16" s="58" t="s">
        <v>51</v>
      </c>
      <c r="G16" s="60" t="s">
        <v>29</v>
      </c>
      <c r="H16" s="62">
        <v>46145.0</v>
      </c>
      <c r="I16" s="60" t="s">
        <v>29</v>
      </c>
      <c r="J16" s="58" t="s">
        <v>104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57">
        <v>46143.0</v>
      </c>
      <c r="B17" s="58" t="s">
        <v>109</v>
      </c>
      <c r="C17" s="58" t="s">
        <v>98</v>
      </c>
      <c r="D17" s="58" t="s">
        <v>49</v>
      </c>
      <c r="E17" s="59">
        <v>85616.0</v>
      </c>
      <c r="F17" s="58" t="s">
        <v>51</v>
      </c>
      <c r="G17" s="60" t="s">
        <v>29</v>
      </c>
      <c r="H17" s="62">
        <v>46157.0</v>
      </c>
      <c r="I17" s="60" t="s">
        <v>29</v>
      </c>
      <c r="J17" s="58" t="s">
        <v>39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57">
        <v>46143.0</v>
      </c>
      <c r="B18" s="58" t="s">
        <v>78</v>
      </c>
      <c r="C18" s="58" t="s">
        <v>110</v>
      </c>
      <c r="D18" s="58" t="s">
        <v>49</v>
      </c>
      <c r="E18" s="59">
        <v>29400.0</v>
      </c>
      <c r="F18" s="58" t="s">
        <v>51</v>
      </c>
      <c r="G18" s="60" t="s">
        <v>29</v>
      </c>
      <c r="H18" s="62">
        <v>46160.0</v>
      </c>
      <c r="I18" s="60" t="s">
        <v>29</v>
      </c>
      <c r="J18" s="58" t="s">
        <v>39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57">
        <v>46174.0</v>
      </c>
      <c r="B19" s="58" t="s">
        <v>107</v>
      </c>
      <c r="C19" s="58" t="s">
        <v>98</v>
      </c>
      <c r="D19" s="58" t="s">
        <v>49</v>
      </c>
      <c r="E19" s="59">
        <v>44614.0</v>
      </c>
      <c r="F19" s="58" t="s">
        <v>51</v>
      </c>
      <c r="G19" s="60" t="s">
        <v>29</v>
      </c>
      <c r="H19" s="62">
        <v>46177.0</v>
      </c>
      <c r="I19" s="60" t="s">
        <v>29</v>
      </c>
      <c r="J19" s="58" t="s">
        <v>104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68">
        <v>46193.0</v>
      </c>
      <c r="B20" s="58" t="s">
        <v>114</v>
      </c>
      <c r="C20" s="58" t="s">
        <v>83</v>
      </c>
      <c r="D20" s="58" t="s">
        <v>83</v>
      </c>
      <c r="E20" s="59">
        <v>7000.0</v>
      </c>
      <c r="F20" s="58" t="s">
        <v>51</v>
      </c>
      <c r="G20" s="60" t="s">
        <v>29</v>
      </c>
      <c r="H20" s="62">
        <v>46193.0</v>
      </c>
      <c r="I20" s="60" t="s">
        <v>29</v>
      </c>
      <c r="J20" s="58" t="s">
        <v>39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68">
        <v>46215.0</v>
      </c>
      <c r="B21" s="58" t="s">
        <v>115</v>
      </c>
      <c r="C21" s="58" t="s">
        <v>98</v>
      </c>
      <c r="D21" s="58" t="s">
        <v>49</v>
      </c>
      <c r="E21" s="59">
        <v>15000.0</v>
      </c>
      <c r="F21" s="58" t="s">
        <v>51</v>
      </c>
      <c r="G21" s="60" t="s">
        <v>29</v>
      </c>
      <c r="H21" s="68">
        <v>46215.0</v>
      </c>
      <c r="I21" s="60" t="s">
        <v>29</v>
      </c>
      <c r="J21" s="58" t="s">
        <v>54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77">
        <v>46277.0</v>
      </c>
      <c r="B22" s="78" t="s">
        <v>109</v>
      </c>
      <c r="C22" s="78" t="s">
        <v>98</v>
      </c>
      <c r="D22" s="78" t="s">
        <v>49</v>
      </c>
      <c r="E22" s="81">
        <v>23113.0</v>
      </c>
      <c r="F22" s="78" t="s">
        <v>51</v>
      </c>
      <c r="G22" s="82" t="s">
        <v>29</v>
      </c>
      <c r="H22" s="77">
        <v>46277.0</v>
      </c>
      <c r="I22" s="82" t="s">
        <v>29</v>
      </c>
      <c r="J22" s="78" t="s">
        <v>39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0" customHeight="1">
      <c r="A23" s="84">
        <v>46295.0</v>
      </c>
      <c r="B23" s="85" t="s">
        <v>65</v>
      </c>
      <c r="C23" s="85" t="s">
        <v>98</v>
      </c>
      <c r="D23" s="85" t="s">
        <v>49</v>
      </c>
      <c r="E23" s="87">
        <v>21920.0</v>
      </c>
      <c r="F23" s="85" t="s">
        <v>51</v>
      </c>
      <c r="G23" s="88" t="s">
        <v>29</v>
      </c>
      <c r="H23" s="84">
        <v>46295.0</v>
      </c>
      <c r="I23" s="88" t="s">
        <v>29</v>
      </c>
      <c r="J23" s="85" t="s">
        <v>39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5.0" customHeight="1">
      <c r="A24" s="84">
        <v>46322.0</v>
      </c>
      <c r="B24" s="85" t="s">
        <v>65</v>
      </c>
      <c r="C24" s="85" t="s">
        <v>98</v>
      </c>
      <c r="D24" s="85" t="s">
        <v>49</v>
      </c>
      <c r="E24" s="87">
        <v>36099.0</v>
      </c>
      <c r="F24" s="85" t="s">
        <v>51</v>
      </c>
      <c r="G24" s="88" t="s">
        <v>29</v>
      </c>
      <c r="H24" s="84">
        <v>46322.0</v>
      </c>
      <c r="I24" s="88" t="s">
        <v>29</v>
      </c>
      <c r="J24" s="85" t="s">
        <v>39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24.0" customHeight="1">
      <c r="A25" s="80" t="s">
        <v>64</v>
      </c>
      <c r="B25" s="28"/>
      <c r="C25" s="28"/>
      <c r="D25" s="28"/>
      <c r="E25" s="83">
        <f>SUMPRODUCT((ISNUMBER(E3:E11))*E3:E11)</f>
        <v>181582</v>
      </c>
      <c r="F25" s="28"/>
      <c r="G25" s="28"/>
      <c r="H25" s="28"/>
      <c r="I25" s="28"/>
      <c r="J25" s="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93">
        <v>46314.0</v>
      </c>
      <c r="B26" s="94" t="s">
        <v>126</v>
      </c>
      <c r="C26" s="94" t="s">
        <v>98</v>
      </c>
      <c r="D26" s="94" t="s">
        <v>127</v>
      </c>
      <c r="E26" s="94">
        <v>20000.0</v>
      </c>
      <c r="F26" s="94" t="s">
        <v>51</v>
      </c>
      <c r="G26" s="94" t="s">
        <v>99</v>
      </c>
      <c r="H26" s="93">
        <v>46314.0</v>
      </c>
      <c r="I26" s="94" t="s">
        <v>99</v>
      </c>
      <c r="J26" s="94" t="s">
        <v>54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8F7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8.0"/>
    <col customWidth="1" min="4" max="5" width="16.0"/>
    <col customWidth="1" min="6" max="6" width="18.0"/>
    <col customWidth="1" min="7" max="11" width="13.0"/>
    <col customWidth="1" min="12" max="13" width="18.0"/>
  </cols>
  <sheetData>
    <row r="1" ht="33.7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6" t="s">
        <v>8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15</v>
      </c>
      <c r="G2" s="6" t="s">
        <v>16</v>
      </c>
      <c r="H2" s="6" t="s">
        <v>17</v>
      </c>
      <c r="I2" s="6" t="s">
        <v>18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" t="s">
        <v>19</v>
      </c>
      <c r="B3" s="10">
        <v>25000.0</v>
      </c>
      <c r="C3" s="10">
        <f t="shared" ref="C3:C14" si="1">B3*0.5</f>
        <v>12500</v>
      </c>
      <c r="D3" s="10">
        <f t="shared" ref="D3:D14" si="2">B3*0.5</f>
        <v>12500</v>
      </c>
      <c r="E3" s="18" t="s">
        <v>29</v>
      </c>
      <c r="F3" s="7" t="s">
        <v>33</v>
      </c>
      <c r="G3" s="7" t="s">
        <v>37</v>
      </c>
      <c r="H3" s="7" t="s">
        <v>39</v>
      </c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52</v>
      </c>
      <c r="B4" s="21">
        <v>54541.0</v>
      </c>
      <c r="C4" s="21">
        <f t="shared" si="1"/>
        <v>27270.5</v>
      </c>
      <c r="D4" s="21">
        <f t="shared" si="2"/>
        <v>27270.5</v>
      </c>
      <c r="E4" s="18" t="s">
        <v>29</v>
      </c>
      <c r="F4" s="11" t="s">
        <v>60</v>
      </c>
      <c r="G4" s="11" t="s">
        <v>37</v>
      </c>
      <c r="H4" s="11" t="s">
        <v>39</v>
      </c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7" t="s">
        <v>52</v>
      </c>
      <c r="B5" s="10">
        <v>40000.0</v>
      </c>
      <c r="C5" s="10">
        <f t="shared" si="1"/>
        <v>20000</v>
      </c>
      <c r="D5" s="10">
        <f t="shared" si="2"/>
        <v>20000</v>
      </c>
      <c r="E5" s="18" t="s">
        <v>29</v>
      </c>
      <c r="F5" s="7" t="s">
        <v>66</v>
      </c>
      <c r="G5" s="7" t="s">
        <v>68</v>
      </c>
      <c r="H5" s="7" t="s">
        <v>39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1" t="s">
        <v>52</v>
      </c>
      <c r="B6" s="21">
        <v>29000.0</v>
      </c>
      <c r="C6" s="21">
        <f t="shared" si="1"/>
        <v>14500</v>
      </c>
      <c r="D6" s="21">
        <f t="shared" si="2"/>
        <v>14500</v>
      </c>
      <c r="E6" s="18" t="s">
        <v>29</v>
      </c>
      <c r="F6" s="11" t="s">
        <v>72</v>
      </c>
      <c r="G6" s="11" t="s">
        <v>37</v>
      </c>
      <c r="H6" s="11" t="s">
        <v>39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7" t="s">
        <v>77</v>
      </c>
      <c r="B7" s="10">
        <v>28600.0</v>
      </c>
      <c r="C7" s="10">
        <f t="shared" si="1"/>
        <v>14300</v>
      </c>
      <c r="D7" s="10">
        <f t="shared" si="2"/>
        <v>14300</v>
      </c>
      <c r="E7" s="18" t="s">
        <v>29</v>
      </c>
      <c r="F7" s="7" t="s">
        <v>80</v>
      </c>
      <c r="G7" s="7" t="s">
        <v>37</v>
      </c>
      <c r="H7" s="7" t="s">
        <v>37</v>
      </c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1" t="s">
        <v>77</v>
      </c>
      <c r="B8" s="21">
        <v>9382.0</v>
      </c>
      <c r="C8" s="21">
        <f t="shared" si="1"/>
        <v>4691</v>
      </c>
      <c r="D8" s="21">
        <f t="shared" si="2"/>
        <v>4691</v>
      </c>
      <c r="E8" s="18" t="s">
        <v>29</v>
      </c>
      <c r="F8" s="11" t="s">
        <v>84</v>
      </c>
      <c r="G8" s="11" t="s">
        <v>37</v>
      </c>
      <c r="H8" s="11" t="s">
        <v>37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7" t="s">
        <v>77</v>
      </c>
      <c r="B9" s="10">
        <v>42671.0</v>
      </c>
      <c r="C9" s="10">
        <f t="shared" si="1"/>
        <v>21335.5</v>
      </c>
      <c r="D9" s="10">
        <f t="shared" si="2"/>
        <v>21335.5</v>
      </c>
      <c r="E9" s="18" t="s">
        <v>29</v>
      </c>
      <c r="F9" s="7" t="s">
        <v>90</v>
      </c>
      <c r="G9" s="7" t="s">
        <v>37</v>
      </c>
      <c r="H9" s="7" t="s">
        <v>37</v>
      </c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1" t="s">
        <v>77</v>
      </c>
      <c r="B10" s="21">
        <v>19250.0</v>
      </c>
      <c r="C10" s="21">
        <f t="shared" si="1"/>
        <v>9625</v>
      </c>
      <c r="D10" s="21">
        <f t="shared" si="2"/>
        <v>9625</v>
      </c>
      <c r="E10" s="18" t="s">
        <v>29</v>
      </c>
      <c r="F10" s="11" t="s">
        <v>92</v>
      </c>
      <c r="G10" s="11" t="s">
        <v>37</v>
      </c>
      <c r="H10" s="11" t="s">
        <v>37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7" t="s">
        <v>95</v>
      </c>
      <c r="B11" s="10">
        <v>46334.0</v>
      </c>
      <c r="C11" s="10">
        <f t="shared" si="1"/>
        <v>23167</v>
      </c>
      <c r="D11" s="10">
        <f t="shared" si="2"/>
        <v>23167</v>
      </c>
      <c r="E11" s="18" t="s">
        <v>29</v>
      </c>
      <c r="F11" s="42">
        <v>46118.0</v>
      </c>
      <c r="G11" s="7" t="s">
        <v>37</v>
      </c>
      <c r="H11" s="7" t="s">
        <v>39</v>
      </c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1" t="s">
        <v>95</v>
      </c>
      <c r="B12" s="21">
        <v>33600.0</v>
      </c>
      <c r="C12" s="21">
        <f t="shared" si="1"/>
        <v>16800</v>
      </c>
      <c r="D12" s="21">
        <f t="shared" si="2"/>
        <v>16800</v>
      </c>
      <c r="E12" s="18" t="s">
        <v>29</v>
      </c>
      <c r="F12" s="48">
        <v>46128.0</v>
      </c>
      <c r="G12" s="11" t="s">
        <v>37</v>
      </c>
      <c r="H12" s="11" t="s">
        <v>39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7" t="s">
        <v>95</v>
      </c>
      <c r="B13" s="10">
        <v>42199.0</v>
      </c>
      <c r="C13" s="10">
        <f t="shared" si="1"/>
        <v>21099.5</v>
      </c>
      <c r="D13" s="10">
        <f t="shared" si="2"/>
        <v>21099.5</v>
      </c>
      <c r="E13" s="18" t="s">
        <v>99</v>
      </c>
      <c r="F13" s="42">
        <v>46136.0</v>
      </c>
      <c r="G13" s="7" t="s">
        <v>100</v>
      </c>
      <c r="H13" s="7" t="s">
        <v>101</v>
      </c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1" t="s">
        <v>95</v>
      </c>
      <c r="B14" s="21">
        <v>80163.0</v>
      </c>
      <c r="C14" s="21">
        <f t="shared" si="1"/>
        <v>40081.5</v>
      </c>
      <c r="D14" s="21">
        <f t="shared" si="2"/>
        <v>40081.5</v>
      </c>
      <c r="E14" s="18" t="s">
        <v>99</v>
      </c>
      <c r="F14" s="48">
        <v>46137.0</v>
      </c>
      <c r="G14" s="11" t="s">
        <v>103</v>
      </c>
      <c r="H14" s="11" t="s">
        <v>101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6" t="s">
        <v>105</v>
      </c>
      <c r="B15" s="54">
        <v>44401.0</v>
      </c>
      <c r="C15" s="54">
        <v>22200.0</v>
      </c>
      <c r="D15" s="54">
        <v>22200.0</v>
      </c>
      <c r="E15" s="55" t="s">
        <v>99</v>
      </c>
      <c r="F15" s="56">
        <v>46146.0</v>
      </c>
      <c r="G15" s="16" t="s">
        <v>37</v>
      </c>
      <c r="H15" s="16" t="s">
        <v>101</v>
      </c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6" t="s">
        <v>105</v>
      </c>
      <c r="B16" s="54">
        <v>85616.0</v>
      </c>
      <c r="C16" s="54">
        <v>42808.0</v>
      </c>
      <c r="D16" s="54">
        <v>42808.0</v>
      </c>
      <c r="E16" s="55" t="s">
        <v>99</v>
      </c>
      <c r="F16" s="56">
        <v>46157.0</v>
      </c>
      <c r="G16" s="16" t="s">
        <v>37</v>
      </c>
      <c r="H16" s="16" t="s">
        <v>101</v>
      </c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6" t="s">
        <v>105</v>
      </c>
      <c r="B17" s="54">
        <v>29400.0</v>
      </c>
      <c r="C17" s="54">
        <v>14700.0</v>
      </c>
      <c r="D17" s="54">
        <v>14700.0</v>
      </c>
      <c r="E17" s="55" t="s">
        <v>99</v>
      </c>
      <c r="F17" s="56">
        <v>46160.0</v>
      </c>
      <c r="G17" s="16" t="s">
        <v>37</v>
      </c>
      <c r="H17" s="16" t="s">
        <v>101</v>
      </c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6" t="s">
        <v>108</v>
      </c>
      <c r="B18" s="54">
        <v>44614.0</v>
      </c>
      <c r="C18" s="54">
        <v>22307.0</v>
      </c>
      <c r="D18" s="54">
        <v>22307.0</v>
      </c>
      <c r="E18" s="55" t="s">
        <v>99</v>
      </c>
      <c r="F18" s="56">
        <v>46177.0</v>
      </c>
      <c r="G18" s="16" t="s">
        <v>37</v>
      </c>
      <c r="H18" s="16" t="s">
        <v>101</v>
      </c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6" t="s">
        <v>108</v>
      </c>
      <c r="B19" s="54">
        <v>7000.0</v>
      </c>
      <c r="C19" s="54">
        <v>3500.0</v>
      </c>
      <c r="D19" s="54">
        <v>3500.0</v>
      </c>
      <c r="E19" s="55" t="s">
        <v>99</v>
      </c>
      <c r="F19" s="56">
        <v>46193.0</v>
      </c>
      <c r="G19" s="16" t="s">
        <v>37</v>
      </c>
      <c r="H19" s="16" t="s">
        <v>101</v>
      </c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6" t="s">
        <v>111</v>
      </c>
      <c r="B20" s="54">
        <v>15000.0</v>
      </c>
      <c r="C20" s="54">
        <v>7500.0</v>
      </c>
      <c r="D20" s="54">
        <v>7500.0</v>
      </c>
      <c r="E20" s="55" t="s">
        <v>99</v>
      </c>
      <c r="F20" s="56">
        <v>46215.0</v>
      </c>
      <c r="G20" s="64" t="s">
        <v>112</v>
      </c>
      <c r="H20" s="16" t="s">
        <v>101</v>
      </c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65" t="s">
        <v>113</v>
      </c>
      <c r="B21" s="66">
        <v>23113.0</v>
      </c>
      <c r="C21" s="66">
        <v>11556.0</v>
      </c>
      <c r="D21" s="66">
        <v>11556.0</v>
      </c>
      <c r="E21" s="69" t="s">
        <v>99</v>
      </c>
      <c r="F21" s="70">
        <v>46277.0</v>
      </c>
      <c r="G21" s="71" t="s">
        <v>112</v>
      </c>
      <c r="H21" s="65" t="s">
        <v>101</v>
      </c>
      <c r="I21" s="72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5.0" customHeight="1">
      <c r="A22" s="71" t="s">
        <v>113</v>
      </c>
      <c r="B22" s="74">
        <v>21920.0</v>
      </c>
      <c r="C22" s="74">
        <v>10960.0</v>
      </c>
      <c r="D22" s="74">
        <v>10960.0</v>
      </c>
      <c r="E22" s="69" t="s">
        <v>99</v>
      </c>
      <c r="F22" s="75">
        <v>46295.0</v>
      </c>
      <c r="G22" s="71" t="s">
        <v>112</v>
      </c>
      <c r="H22" s="71" t="s">
        <v>101</v>
      </c>
      <c r="I22" s="72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5.0" customHeight="1">
      <c r="A23" s="71" t="s">
        <v>113</v>
      </c>
      <c r="B23" s="74">
        <v>36099.0</v>
      </c>
      <c r="C23" s="74">
        <v>18049.0</v>
      </c>
      <c r="D23" s="74">
        <v>18049.0</v>
      </c>
      <c r="E23" s="69" t="s">
        <v>99</v>
      </c>
      <c r="F23" s="75">
        <v>46322.0</v>
      </c>
      <c r="G23" s="71" t="s">
        <v>112</v>
      </c>
      <c r="H23" s="71" t="s">
        <v>101</v>
      </c>
      <c r="I23" s="72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24.0" customHeight="1">
      <c r="A24" s="80" t="s">
        <v>64</v>
      </c>
      <c r="B24" s="83">
        <f t="shared" ref="B24:D24" si="3">SUM(B3:B20)</f>
        <v>676771</v>
      </c>
      <c r="C24" s="83">
        <f t="shared" si="3"/>
        <v>338385</v>
      </c>
      <c r="D24" s="83">
        <f t="shared" si="3"/>
        <v>338385</v>
      </c>
      <c r="E24" s="28"/>
      <c r="F24" s="28"/>
      <c r="G24" s="28"/>
      <c r="H24" s="28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5" t="s">
        <v>119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7" t="s">
        <v>8</v>
      </c>
      <c r="B27" s="37" t="s">
        <v>10</v>
      </c>
      <c r="C27" s="37" t="s">
        <v>120</v>
      </c>
      <c r="D27" s="37" t="s">
        <v>121</v>
      </c>
      <c r="E27" s="37" t="s">
        <v>122</v>
      </c>
      <c r="F27" s="37" t="s">
        <v>123</v>
      </c>
      <c r="G27" s="37" t="s">
        <v>13</v>
      </c>
      <c r="H27" s="37" t="s">
        <v>15</v>
      </c>
      <c r="I27" s="6" t="s">
        <v>16</v>
      </c>
      <c r="J27" s="6" t="s">
        <v>17</v>
      </c>
      <c r="K27" s="6" t="s">
        <v>124</v>
      </c>
      <c r="L27" s="6" t="s">
        <v>18</v>
      </c>
      <c r="M27" s="6" t="s">
        <v>41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0" t="s">
        <v>125</v>
      </c>
      <c r="B28" s="92">
        <v>20000.0</v>
      </c>
      <c r="C28" s="95">
        <f t="shared" ref="C28:C47" si="4">IF(B28="","",B28*0.3)</f>
        <v>6000</v>
      </c>
      <c r="D28" s="95">
        <f t="shared" ref="D28:D47" si="5">IF(B28="","",B28*(0.7/3))</f>
        <v>4666.666667</v>
      </c>
      <c r="E28" s="95">
        <f t="shared" ref="E28:E47" si="6">IF(B28="","",B28*(0.7/3))</f>
        <v>4666.666667</v>
      </c>
      <c r="F28" s="95">
        <f t="shared" ref="F28:F47" si="7">IF(B28="","",B28*(0.7/3))</f>
        <v>4666.666667</v>
      </c>
      <c r="G28" s="96" t="s">
        <v>99</v>
      </c>
      <c r="H28" s="99">
        <v>46314.0</v>
      </c>
      <c r="I28" s="100" t="s">
        <v>112</v>
      </c>
      <c r="J28" s="100" t="s">
        <v>100</v>
      </c>
      <c r="K28" s="100" t="s">
        <v>128</v>
      </c>
      <c r="L28" s="7"/>
      <c r="M28" s="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5"/>
      <c r="B29" s="101"/>
      <c r="C29" s="101" t="str">
        <f t="shared" si="4"/>
        <v/>
      </c>
      <c r="D29" s="101" t="str">
        <f t="shared" si="5"/>
        <v/>
      </c>
      <c r="E29" s="101" t="str">
        <f t="shared" si="6"/>
        <v/>
      </c>
      <c r="F29" s="101" t="str">
        <f t="shared" si="7"/>
        <v/>
      </c>
      <c r="G29" s="102"/>
      <c r="H29" s="45"/>
      <c r="I29" s="11"/>
      <c r="J29" s="11"/>
      <c r="K29" s="11"/>
      <c r="L29" s="11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9"/>
      <c r="B30" s="95"/>
      <c r="C30" s="95" t="str">
        <f t="shared" si="4"/>
        <v/>
      </c>
      <c r="D30" s="95" t="str">
        <f t="shared" si="5"/>
        <v/>
      </c>
      <c r="E30" s="95" t="str">
        <f t="shared" si="6"/>
        <v/>
      </c>
      <c r="F30" s="95" t="str">
        <f t="shared" si="7"/>
        <v/>
      </c>
      <c r="G30" s="102"/>
      <c r="H30" s="49"/>
      <c r="I30" s="7"/>
      <c r="J30" s="7"/>
      <c r="K30" s="7"/>
      <c r="L30" s="7"/>
      <c r="M30" s="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5"/>
      <c r="B31" s="101"/>
      <c r="C31" s="101" t="str">
        <f t="shared" si="4"/>
        <v/>
      </c>
      <c r="D31" s="101" t="str">
        <f t="shared" si="5"/>
        <v/>
      </c>
      <c r="E31" s="101" t="str">
        <f t="shared" si="6"/>
        <v/>
      </c>
      <c r="F31" s="101" t="str">
        <f t="shared" si="7"/>
        <v/>
      </c>
      <c r="G31" s="102"/>
      <c r="H31" s="45"/>
      <c r="I31" s="11"/>
      <c r="J31" s="11"/>
      <c r="K31" s="11"/>
      <c r="L31" s="11"/>
      <c r="M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9"/>
      <c r="B32" s="95"/>
      <c r="C32" s="95" t="str">
        <f t="shared" si="4"/>
        <v/>
      </c>
      <c r="D32" s="95" t="str">
        <f t="shared" si="5"/>
        <v/>
      </c>
      <c r="E32" s="95" t="str">
        <f t="shared" si="6"/>
        <v/>
      </c>
      <c r="F32" s="95" t="str">
        <f t="shared" si="7"/>
        <v/>
      </c>
      <c r="G32" s="102"/>
      <c r="H32" s="49"/>
      <c r="I32" s="7"/>
      <c r="J32" s="7"/>
      <c r="K32" s="7"/>
      <c r="L32" s="7"/>
      <c r="M32" s="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5"/>
      <c r="B33" s="101"/>
      <c r="C33" s="101" t="str">
        <f t="shared" si="4"/>
        <v/>
      </c>
      <c r="D33" s="101" t="str">
        <f t="shared" si="5"/>
        <v/>
      </c>
      <c r="E33" s="101" t="str">
        <f t="shared" si="6"/>
        <v/>
      </c>
      <c r="F33" s="101" t="str">
        <f t="shared" si="7"/>
        <v/>
      </c>
      <c r="G33" s="102"/>
      <c r="H33" s="45"/>
      <c r="I33" s="11"/>
      <c r="J33" s="11"/>
      <c r="K33" s="11"/>
      <c r="L33" s="11"/>
      <c r="M33" s="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9"/>
      <c r="B34" s="95"/>
      <c r="C34" s="95" t="str">
        <f t="shared" si="4"/>
        <v/>
      </c>
      <c r="D34" s="95" t="str">
        <f t="shared" si="5"/>
        <v/>
      </c>
      <c r="E34" s="95" t="str">
        <f t="shared" si="6"/>
        <v/>
      </c>
      <c r="F34" s="95" t="str">
        <f t="shared" si="7"/>
        <v/>
      </c>
      <c r="G34" s="102"/>
      <c r="H34" s="49"/>
      <c r="I34" s="7"/>
      <c r="J34" s="7"/>
      <c r="K34" s="7"/>
      <c r="L34" s="7"/>
      <c r="M34" s="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5"/>
      <c r="B35" s="101"/>
      <c r="C35" s="101" t="str">
        <f t="shared" si="4"/>
        <v/>
      </c>
      <c r="D35" s="101" t="str">
        <f t="shared" si="5"/>
        <v/>
      </c>
      <c r="E35" s="101" t="str">
        <f t="shared" si="6"/>
        <v/>
      </c>
      <c r="F35" s="101" t="str">
        <f t="shared" si="7"/>
        <v/>
      </c>
      <c r="G35" s="102"/>
      <c r="H35" s="45"/>
      <c r="I35" s="11"/>
      <c r="J35" s="11"/>
      <c r="K35" s="11"/>
      <c r="L35" s="11"/>
      <c r="M35" s="1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9"/>
      <c r="B36" s="95"/>
      <c r="C36" s="95" t="str">
        <f t="shared" si="4"/>
        <v/>
      </c>
      <c r="D36" s="95" t="str">
        <f t="shared" si="5"/>
        <v/>
      </c>
      <c r="E36" s="95" t="str">
        <f t="shared" si="6"/>
        <v/>
      </c>
      <c r="F36" s="95" t="str">
        <f t="shared" si="7"/>
        <v/>
      </c>
      <c r="G36" s="102"/>
      <c r="H36" s="49"/>
      <c r="I36" s="7"/>
      <c r="J36" s="7"/>
      <c r="K36" s="7"/>
      <c r="L36" s="7"/>
      <c r="M36" s="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5"/>
      <c r="B37" s="101"/>
      <c r="C37" s="101" t="str">
        <f t="shared" si="4"/>
        <v/>
      </c>
      <c r="D37" s="101" t="str">
        <f t="shared" si="5"/>
        <v/>
      </c>
      <c r="E37" s="101" t="str">
        <f t="shared" si="6"/>
        <v/>
      </c>
      <c r="F37" s="101" t="str">
        <f t="shared" si="7"/>
        <v/>
      </c>
      <c r="G37" s="102"/>
      <c r="H37" s="45"/>
      <c r="I37" s="11"/>
      <c r="J37" s="11"/>
      <c r="K37" s="11"/>
      <c r="L37" s="11"/>
      <c r="M37" s="1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9"/>
      <c r="B38" s="95"/>
      <c r="C38" s="95" t="str">
        <f t="shared" si="4"/>
        <v/>
      </c>
      <c r="D38" s="95" t="str">
        <f t="shared" si="5"/>
        <v/>
      </c>
      <c r="E38" s="95" t="str">
        <f t="shared" si="6"/>
        <v/>
      </c>
      <c r="F38" s="95" t="str">
        <f t="shared" si="7"/>
        <v/>
      </c>
      <c r="G38" s="102"/>
      <c r="H38" s="49"/>
      <c r="I38" s="7"/>
      <c r="J38" s="7"/>
      <c r="K38" s="7"/>
      <c r="L38" s="7"/>
      <c r="M38" s="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/>
      <c r="B39" s="101"/>
      <c r="C39" s="101" t="str">
        <f t="shared" si="4"/>
        <v/>
      </c>
      <c r="D39" s="101" t="str">
        <f t="shared" si="5"/>
        <v/>
      </c>
      <c r="E39" s="101" t="str">
        <f t="shared" si="6"/>
        <v/>
      </c>
      <c r="F39" s="101" t="str">
        <f t="shared" si="7"/>
        <v/>
      </c>
      <c r="G39" s="102"/>
      <c r="H39" s="45"/>
      <c r="I39" s="11"/>
      <c r="J39" s="11"/>
      <c r="K39" s="11"/>
      <c r="L39" s="1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9"/>
      <c r="B40" s="95"/>
      <c r="C40" s="95" t="str">
        <f t="shared" si="4"/>
        <v/>
      </c>
      <c r="D40" s="95" t="str">
        <f t="shared" si="5"/>
        <v/>
      </c>
      <c r="E40" s="95" t="str">
        <f t="shared" si="6"/>
        <v/>
      </c>
      <c r="F40" s="95" t="str">
        <f t="shared" si="7"/>
        <v/>
      </c>
      <c r="G40" s="102"/>
      <c r="H40" s="49"/>
      <c r="I40" s="7"/>
      <c r="J40" s="7"/>
      <c r="K40" s="7"/>
      <c r="L40" s="7"/>
      <c r="M40" s="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/>
      <c r="B41" s="101"/>
      <c r="C41" s="101" t="str">
        <f t="shared" si="4"/>
        <v/>
      </c>
      <c r="D41" s="101" t="str">
        <f t="shared" si="5"/>
        <v/>
      </c>
      <c r="E41" s="101" t="str">
        <f t="shared" si="6"/>
        <v/>
      </c>
      <c r="F41" s="101" t="str">
        <f t="shared" si="7"/>
        <v/>
      </c>
      <c r="G41" s="102"/>
      <c r="H41" s="45"/>
      <c r="I41" s="11"/>
      <c r="J41" s="11"/>
      <c r="K41" s="11"/>
      <c r="L41" s="1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9"/>
      <c r="B42" s="95"/>
      <c r="C42" s="95" t="str">
        <f t="shared" si="4"/>
        <v/>
      </c>
      <c r="D42" s="95" t="str">
        <f t="shared" si="5"/>
        <v/>
      </c>
      <c r="E42" s="95" t="str">
        <f t="shared" si="6"/>
        <v/>
      </c>
      <c r="F42" s="95" t="str">
        <f t="shared" si="7"/>
        <v/>
      </c>
      <c r="G42" s="102"/>
      <c r="H42" s="49"/>
      <c r="I42" s="7"/>
      <c r="J42" s="7"/>
      <c r="K42" s="7"/>
      <c r="L42" s="7"/>
      <c r="M42" s="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5"/>
      <c r="B43" s="101"/>
      <c r="C43" s="101" t="str">
        <f t="shared" si="4"/>
        <v/>
      </c>
      <c r="D43" s="101" t="str">
        <f t="shared" si="5"/>
        <v/>
      </c>
      <c r="E43" s="101" t="str">
        <f t="shared" si="6"/>
        <v/>
      </c>
      <c r="F43" s="101" t="str">
        <f t="shared" si="7"/>
        <v/>
      </c>
      <c r="G43" s="102"/>
      <c r="H43" s="45"/>
      <c r="I43" s="11"/>
      <c r="J43" s="11"/>
      <c r="K43" s="11"/>
      <c r="L43" s="11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9"/>
      <c r="B44" s="95"/>
      <c r="C44" s="95" t="str">
        <f t="shared" si="4"/>
        <v/>
      </c>
      <c r="D44" s="95" t="str">
        <f t="shared" si="5"/>
        <v/>
      </c>
      <c r="E44" s="95" t="str">
        <f t="shared" si="6"/>
        <v/>
      </c>
      <c r="F44" s="95" t="str">
        <f t="shared" si="7"/>
        <v/>
      </c>
      <c r="G44" s="102"/>
      <c r="H44" s="49"/>
      <c r="I44" s="7"/>
      <c r="J44" s="7"/>
      <c r="K44" s="7"/>
      <c r="L44" s="7"/>
      <c r="M44" s="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/>
      <c r="B45" s="101"/>
      <c r="C45" s="101" t="str">
        <f t="shared" si="4"/>
        <v/>
      </c>
      <c r="D45" s="101" t="str">
        <f t="shared" si="5"/>
        <v/>
      </c>
      <c r="E45" s="101" t="str">
        <f t="shared" si="6"/>
        <v/>
      </c>
      <c r="F45" s="101" t="str">
        <f t="shared" si="7"/>
        <v/>
      </c>
      <c r="G45" s="102"/>
      <c r="H45" s="45"/>
      <c r="I45" s="11"/>
      <c r="J45" s="11"/>
      <c r="K45" s="11"/>
      <c r="L45" s="11"/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9"/>
      <c r="B46" s="95"/>
      <c r="C46" s="95" t="str">
        <f t="shared" si="4"/>
        <v/>
      </c>
      <c r="D46" s="95" t="str">
        <f t="shared" si="5"/>
        <v/>
      </c>
      <c r="E46" s="95" t="str">
        <f t="shared" si="6"/>
        <v/>
      </c>
      <c r="F46" s="95" t="str">
        <f t="shared" si="7"/>
        <v/>
      </c>
      <c r="G46" s="102"/>
      <c r="H46" s="49"/>
      <c r="I46" s="7"/>
      <c r="J46" s="7"/>
      <c r="K46" s="7"/>
      <c r="L46" s="7"/>
      <c r="M46" s="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/>
      <c r="B47" s="101"/>
      <c r="C47" s="101" t="str">
        <f t="shared" si="4"/>
        <v/>
      </c>
      <c r="D47" s="101" t="str">
        <f t="shared" si="5"/>
        <v/>
      </c>
      <c r="E47" s="101" t="str">
        <f t="shared" si="6"/>
        <v/>
      </c>
      <c r="F47" s="101" t="str">
        <f t="shared" si="7"/>
        <v/>
      </c>
      <c r="G47" s="102"/>
      <c r="H47" s="45"/>
      <c r="I47" s="11"/>
      <c r="J47" s="11"/>
      <c r="K47" s="11"/>
      <c r="L47" s="11"/>
      <c r="M47" s="1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03" t="s">
        <v>64</v>
      </c>
      <c r="B48" s="104">
        <f t="shared" ref="B48:F48" si="8">SUM(B28:B47)</f>
        <v>20000</v>
      </c>
      <c r="C48" s="104">
        <f t="shared" si="8"/>
        <v>6000</v>
      </c>
      <c r="D48" s="104">
        <f t="shared" si="8"/>
        <v>4666.666667</v>
      </c>
      <c r="E48" s="104">
        <f t="shared" si="8"/>
        <v>4666.666667</v>
      </c>
      <c r="F48" s="104">
        <f t="shared" si="8"/>
        <v>4666.666667</v>
      </c>
      <c r="G48" s="105"/>
      <c r="H48" s="105"/>
      <c r="I48" s="103"/>
      <c r="J48" s="103"/>
      <c r="K48" s="103"/>
      <c r="L48" s="103"/>
      <c r="M48" s="10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06" t="s">
        <v>132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</sheetData>
  <mergeCells count="3">
    <mergeCell ref="A1:I1"/>
    <mergeCell ref="A26:M26"/>
    <mergeCell ref="A50:M5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9E1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8.0"/>
    <col customWidth="1" min="3" max="3" width="18.0"/>
    <col customWidth="1" min="4" max="6" width="8.71"/>
  </cols>
  <sheetData>
    <row r="1" ht="33.75" customHeight="1">
      <c r="A1" s="2" t="s">
        <v>2</v>
      </c>
      <c r="B1" s="3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6" t="s">
        <v>4</v>
      </c>
      <c r="B2" s="6" t="s">
        <v>5</v>
      </c>
      <c r="C2" s="6" t="s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7" t="s">
        <v>9</v>
      </c>
      <c r="B3" s="7" t="s">
        <v>14</v>
      </c>
      <c r="C3" s="9">
        <v>3314.4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2">
        <v>4830.0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1" t="s">
        <v>23</v>
      </c>
      <c r="B5" s="16" t="s">
        <v>24</v>
      </c>
      <c r="C5" s="12">
        <v>1999.0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1" t="s">
        <v>34</v>
      </c>
      <c r="B6" s="16" t="s">
        <v>36</v>
      </c>
      <c r="C6" s="12">
        <v>1200.0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1" t="s">
        <v>44</v>
      </c>
      <c r="B7" s="16" t="s">
        <v>45</v>
      </c>
      <c r="C7" s="12">
        <v>370.0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1" t="s">
        <v>50</v>
      </c>
      <c r="B8" s="16"/>
      <c r="C8" s="12">
        <v>2533.82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3" t="s">
        <v>55</v>
      </c>
      <c r="B9" s="24"/>
      <c r="C9" s="25">
        <v>4955.0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7" t="s">
        <v>64</v>
      </c>
      <c r="B10" s="28"/>
      <c r="C10" s="9">
        <f>SUMIF(A3:A8,"&lt;&gt;TOTAL",C3:C8)</f>
        <v>14247.22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</row>
    <row r="12">
      <c r="A12" s="35" t="s">
        <v>85</v>
      </c>
      <c r="B12" s="3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75" customHeight="1">
      <c r="A13" s="37" t="s">
        <v>4</v>
      </c>
      <c r="B13" s="37" t="s">
        <v>5</v>
      </c>
      <c r="C13" s="37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40"/>
      <c r="B14" s="1"/>
      <c r="C14" s="4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45"/>
      <c r="B15" s="45"/>
      <c r="C15" s="4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49"/>
      <c r="B16" s="49"/>
      <c r="C16" s="5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45"/>
      <c r="B17" s="45"/>
      <c r="C17" s="4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49"/>
      <c r="B18" s="49"/>
      <c r="C18" s="5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45"/>
      <c r="B19" s="45"/>
      <c r="C19" s="4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49"/>
      <c r="B20" s="49"/>
      <c r="C20" s="5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45"/>
      <c r="B21" s="45"/>
      <c r="C21" s="4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49"/>
      <c r="B22" s="49"/>
      <c r="C22" s="5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45"/>
      <c r="B23" s="45"/>
      <c r="C23" s="4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4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45"/>
      <c r="B25" s="45"/>
      <c r="C25" s="4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49"/>
      <c r="B26" s="49"/>
      <c r="C26" s="5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45"/>
      <c r="B27" s="45"/>
      <c r="C27" s="4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49"/>
      <c r="B28" s="49"/>
      <c r="C28" s="5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9" t="s">
        <v>64</v>
      </c>
      <c r="B29" s="49"/>
      <c r="C29" s="50">
        <f>SUMIF(A14:A28,"&lt;&gt;TOTAL",C14:C28)</f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  <row r="1001" ht="15.75" customHeight="1">
      <c r="A1001" s="1"/>
      <c r="B1001" s="1"/>
      <c r="C1001" s="1"/>
      <c r="D1001" s="1"/>
      <c r="E1001" s="1"/>
      <c r="F1001" s="1"/>
    </row>
  </sheetData>
  <mergeCells count="2">
    <mergeCell ref="A1:C1"/>
    <mergeCell ref="A12:C1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2.43"/>
    <col customWidth="1" min="3" max="26" width="8.71"/>
  </cols>
  <sheetData>
    <row r="1">
      <c r="A1" s="2" t="s">
        <v>133</v>
      </c>
      <c r="B1" s="4"/>
    </row>
    <row r="2">
      <c r="A2" s="6" t="s">
        <v>134</v>
      </c>
      <c r="B2" s="6" t="s">
        <v>135</v>
      </c>
    </row>
    <row r="3">
      <c r="A3" s="7" t="s">
        <v>136</v>
      </c>
      <c r="B3" s="10">
        <v>1200.0</v>
      </c>
    </row>
    <row r="4">
      <c r="A4" s="11" t="s">
        <v>137</v>
      </c>
      <c r="B4" s="21">
        <v>10000.0</v>
      </c>
    </row>
    <row r="5">
      <c r="A5" s="7" t="s">
        <v>138</v>
      </c>
      <c r="B5" s="10">
        <v>3250.0</v>
      </c>
    </row>
    <row r="6">
      <c r="A6" s="11"/>
      <c r="B6" s="107"/>
      <c r="C6" s="108">
        <v>5000.0</v>
      </c>
    </row>
    <row r="7">
      <c r="A7" s="7"/>
      <c r="B7" s="10"/>
    </row>
    <row r="8">
      <c r="A8" s="11"/>
      <c r="B8" s="21"/>
    </row>
    <row r="9">
      <c r="A9" s="7"/>
      <c r="B9" s="10"/>
    </row>
    <row r="10">
      <c r="A10" s="11"/>
      <c r="B10" s="21"/>
    </row>
    <row r="11">
      <c r="A11" s="7"/>
      <c r="B11" s="10"/>
    </row>
    <row r="12">
      <c r="A12" s="7" t="s">
        <v>64</v>
      </c>
      <c r="B12" s="10">
        <f>SUMIF(A3:A11,"&lt;&gt;TOTAL",B3:B11)</f>
        <v>14450</v>
      </c>
    </row>
    <row r="14">
      <c r="A14" s="35" t="s">
        <v>139</v>
      </c>
      <c r="B14" s="4"/>
    </row>
    <row r="15">
      <c r="A15" s="6" t="s">
        <v>134</v>
      </c>
      <c r="B15" s="6" t="s">
        <v>135</v>
      </c>
    </row>
    <row r="16">
      <c r="A16" s="7"/>
      <c r="B16" s="10"/>
    </row>
    <row r="17">
      <c r="A17" s="11"/>
      <c r="B17" s="21"/>
    </row>
    <row r="18">
      <c r="A18" s="7"/>
      <c r="B18" s="10"/>
    </row>
    <row r="19">
      <c r="A19" s="11"/>
      <c r="B19" s="21"/>
    </row>
    <row r="20">
      <c r="A20" s="7"/>
      <c r="B20" s="10"/>
    </row>
    <row r="21" ht="15.75" customHeight="1">
      <c r="A21" s="11"/>
      <c r="B21" s="21"/>
    </row>
    <row r="22" ht="15.75" customHeight="1">
      <c r="A22" s="7"/>
      <c r="B22" s="10"/>
    </row>
    <row r="23" ht="15.75" customHeight="1">
      <c r="A23" s="11"/>
      <c r="B23" s="21"/>
    </row>
    <row r="24" ht="15.75" customHeight="1">
      <c r="A24" s="7"/>
      <c r="B24" s="10"/>
    </row>
    <row r="25" ht="15.75" customHeight="1">
      <c r="A25" s="11"/>
      <c r="B25" s="21"/>
    </row>
    <row r="26" ht="15.75" customHeight="1">
      <c r="A26" s="7"/>
      <c r="B26" s="10"/>
    </row>
    <row r="27" ht="15.75" customHeight="1">
      <c r="A27" s="11"/>
      <c r="B27" s="21"/>
    </row>
    <row r="28" ht="15.75" customHeight="1">
      <c r="A28" s="7"/>
      <c r="B28" s="10"/>
    </row>
    <row r="29" ht="15.75" customHeight="1">
      <c r="A29" s="11"/>
      <c r="B29" s="21"/>
    </row>
    <row r="30" ht="15.75" customHeight="1">
      <c r="A30" s="7"/>
      <c r="B30" s="10"/>
    </row>
    <row r="31" ht="15.75" customHeight="1">
      <c r="A31" s="7" t="s">
        <v>64</v>
      </c>
      <c r="B31" s="10">
        <f>SUMIF(A16:A30,"&lt;&gt;TOTAL",B16:B30)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4:B14"/>
  </mergeCells>
  <printOptions/>
  <pageMargins bottom="1.0" footer="0.0" header="0.0" left="0.75" right="0.75" top="1.0"/>
  <pageSetup paperSize="9" orientation="portrait"/>
  <drawing r:id="rId1"/>
</worksheet>
</file>