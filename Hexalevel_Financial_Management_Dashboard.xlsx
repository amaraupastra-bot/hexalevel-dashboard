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s" sheetId="2" state="visible" r:id="rId2"/>
    <sheet name="Revenue Split" sheetId="3" state="visible" r:id="rId3"/>
    <sheet name="Expenses" sheetId="4" state="visible" r:id="rId4"/>
    <sheet name="Send Money" sheetId="5" state="visible" r:id="rId5"/>
    <sheet name="Scenario C &amp; Net Prof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D1FAE5"/>
      <sz val="9"/>
    </font>
    <font>
      <name val="Segoe UI"/>
      <b val="1"/>
      <color rgb="00475569"/>
      <sz val="9"/>
    </font>
    <font>
      <name val="Segoe UI"/>
      <b val="1"/>
      <color rgb="001E293B"/>
      <sz val="15"/>
    </font>
    <font>
      <name val="Segoe UI"/>
      <b val="1"/>
      <color rgb="00065F46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F2937"/>
      <sz val="10"/>
    </font>
  </fonts>
  <fills count="12">
    <fill>
      <patternFill/>
    </fill>
    <fill>
      <patternFill patternType="gray125"/>
    </fill>
    <fill>
      <patternFill patternType="solid">
        <fgColor rgb="000D5C52"/>
        <bgColor rgb="000D5C52"/>
      </patternFill>
    </fill>
    <fill>
      <patternFill patternType="solid">
        <fgColor rgb="00E0F2FE"/>
        <bgColor rgb="00E0F2FE"/>
      </patternFill>
    </fill>
    <fill>
      <patternFill patternType="solid">
        <fgColor rgb="00E0E7FF"/>
        <bgColor rgb="00E0E7FF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E6F9ED"/>
        <bgColor rgb="00E6F9ED"/>
      </patternFill>
    </fill>
    <fill>
      <patternFill patternType="solid">
        <fgColor rgb="00F3E8FF"/>
        <bgColor rgb="00F3E8FF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093C35"/>
        <bgColor rgb="00093C3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093C35"/>
      </top>
      <bottom style="double">
        <color rgb="00093C3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/>
    </xf>
    <xf numFmtId="0" fontId="0" fillId="2" borderId="2" pivotButton="0" quotePrefix="0" xfId="0"/>
    <xf numFmtId="3" fontId="7" fillId="2" borderId="2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7" fillId="2" borderId="2" applyAlignment="1" pivotButton="0" quotePrefix="0" xfId="0">
      <alignment horizontal="right" vertical="center"/>
    </xf>
    <xf numFmtId="0" fontId="7" fillId="2" borderId="2" pivotButton="0" quotePrefix="0" xfId="0"/>
    <xf numFmtId="0" fontId="7" fillId="2" borderId="2" applyAlignment="1" pivotButton="0" quotePrefix="0" xfId="0">
      <alignment horizontal="left" vertical="center"/>
    </xf>
    <xf numFmtId="0" fontId="8" fillId="0" borderId="1" pivotButton="0" quotePrefix="0" xfId="0"/>
    <xf numFmtId="0" fontId="0" fillId="0" borderId="1" pivotButton="0" quotePrefix="0" xfId="0"/>
    <xf numFmtId="0" fontId="2" fillId="11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4" customWidth="1" min="5" max="5"/>
    <col width="14" customWidth="1" min="6" max="6"/>
    <col width="14" customWidth="1" min="7" max="7"/>
    <col width="14" customWidth="1" min="8" max="8"/>
    <col width="4" customWidth="1" min="9" max="9"/>
    <col width="15" customWidth="1" min="10" max="10"/>
    <col width="15" customWidth="1" min="11" max="11"/>
    <col width="4" customWidth="1" min="12" max="12"/>
    <col width="22" customWidth="1" min="13" max="13"/>
  </cols>
  <sheetData>
    <row r="2" ht="24" customHeight="1">
      <c r="B2" s="1" t="inlineStr">
        <is>
          <t>HEXALEVEL — MONTHLY REVENUE DASHBOARD</t>
        </is>
      </c>
    </row>
    <row r="3">
      <c r="B3" s="2" t="inlineStr">
        <is>
          <t>All values update automatically — add rows to Projects / Revenue Split / Expenses</t>
        </is>
      </c>
    </row>
    <row r="5" ht="18" customHeight="1">
      <c r="B5" s="3" t="inlineStr">
        <is>
          <t>TOTAL REVENUE (PKR)</t>
        </is>
      </c>
      <c r="C5" s="4" t="n"/>
      <c r="D5" s="4" t="n"/>
      <c r="F5" s="5" t="inlineStr">
        <is>
          <t>COMPANY SHARE (50%)</t>
        </is>
      </c>
      <c r="G5" s="6" t="n"/>
      <c r="H5" s="6" t="n"/>
      <c r="J5" s="7" t="inlineStr">
        <is>
          <t>TEAM SHARE (50%)</t>
        </is>
      </c>
      <c r="K5" s="8" t="n"/>
      <c r="M5" s="9" t="inlineStr">
        <is>
          <t>TOTAL PURCHASES</t>
        </is>
      </c>
    </row>
    <row r="6" ht="28" customHeight="1">
      <c r="B6" s="10">
        <f>'Revenue Split'!B24</f>
        <v/>
      </c>
      <c r="C6" s="4" t="n"/>
      <c r="D6" s="4" t="n"/>
      <c r="F6" s="11">
        <f>'Revenue Split'!C24</f>
        <v/>
      </c>
      <c r="G6" s="6" t="n"/>
      <c r="H6" s="6" t="n"/>
      <c r="J6" s="12">
        <f>'Revenue Split'!D24</f>
        <v/>
      </c>
      <c r="K6" s="8" t="n"/>
      <c r="M6" s="13">
        <f>Expenses!C10</f>
        <v/>
      </c>
    </row>
    <row r="8" ht="18" customHeight="1">
      <c r="B8" s="14" t="inlineStr">
        <is>
          <t>NET PROFIT</t>
        </is>
      </c>
      <c r="C8" s="15" t="n"/>
      <c r="D8" s="15" t="n"/>
      <c r="F8" s="16" t="inlineStr">
        <is>
          <t>TOTAL PROJECTS</t>
        </is>
      </c>
      <c r="G8" s="17" t="n"/>
      <c r="H8" s="17" t="n"/>
      <c r="J8" s="18" t="inlineStr">
        <is>
          <t>PAYMENTS RECEIVED</t>
        </is>
      </c>
      <c r="K8" s="19" t="n"/>
      <c r="M8" s="20" t="inlineStr">
        <is>
          <t>SEND MONEY TOTAL</t>
        </is>
      </c>
    </row>
    <row r="9" ht="28" customHeight="1">
      <c r="B9" s="21">
        <f>F6-M6-M9</f>
        <v/>
      </c>
      <c r="C9" s="15" t="n"/>
      <c r="D9" s="15" t="n"/>
      <c r="F9" s="22">
        <f>COUNTA(Projects!A3:A24)</f>
        <v/>
      </c>
      <c r="G9" s="17" t="n"/>
      <c r="H9" s="17" t="n"/>
      <c r="J9" s="23">
        <f>COUNTIF(Projects!G3:G24, "Received")</f>
        <v/>
      </c>
      <c r="K9" s="19" t="n"/>
      <c r="M9" s="24">
        <f>'Send Money'!B12</f>
        <v/>
      </c>
    </row>
    <row r="11" ht="24" customHeight="1">
      <c r="B11" s="25" t="inlineStr">
        <is>
          <t>NEW SPLIT — FROM 1 SEP 2026 (Company 30% · Shaista / Amara / Urooj 23.33% each)</t>
        </is>
      </c>
    </row>
    <row r="13" ht="18" customHeight="1">
      <c r="B13" s="3" t="inlineStr">
        <is>
          <t>TOTAL REVENUE (PKR)</t>
        </is>
      </c>
      <c r="C13" s="4" t="n"/>
      <c r="D13" s="4" t="n"/>
      <c r="F13" s="5" t="inlineStr">
        <is>
          <t>COMPANY SHARE (Total)</t>
        </is>
      </c>
      <c r="G13" s="6" t="n"/>
      <c r="H13" s="6" t="n"/>
      <c r="J13" s="7" t="inlineStr">
        <is>
          <t>TEAM SHARE (Total)</t>
        </is>
      </c>
      <c r="K13" s="8" t="n"/>
      <c r="M13" s="9" t="inlineStr">
        <is>
          <t>TOTAL PURCHASES</t>
        </is>
      </c>
    </row>
    <row r="14" ht="28" customHeight="1">
      <c r="B14" s="10">
        <f>'Revenue Split'!B30</f>
        <v/>
      </c>
      <c r="C14" s="4" t="n"/>
      <c r="D14" s="4" t="n"/>
      <c r="F14" s="11">
        <f>'Revenue Split'!C30</f>
        <v/>
      </c>
      <c r="G14" s="6" t="n"/>
      <c r="H14" s="6" t="n"/>
      <c r="J14" s="12">
        <f>SUM('Revenue Split'!D30:F30)</f>
        <v/>
      </c>
      <c r="K14" s="8" t="n"/>
      <c r="M14" s="13">
        <f>Expenses!C15</f>
        <v/>
      </c>
    </row>
    <row r="16" ht="18" customHeight="1">
      <c r="B16" s="14" t="inlineStr">
        <is>
          <t>NET PROFIT</t>
        </is>
      </c>
      <c r="C16" s="15" t="n"/>
      <c r="D16" s="15" t="n"/>
      <c r="F16" s="16" t="inlineStr">
        <is>
          <t>TOTAL PROJECTS</t>
        </is>
      </c>
      <c r="G16" s="17" t="n"/>
      <c r="H16" s="17" t="n"/>
      <c r="J16" s="18" t="inlineStr">
        <is>
          <t>PAYMENTS RECEIVED</t>
        </is>
      </c>
      <c r="K16" s="19" t="n"/>
      <c r="M16" s="20" t="inlineStr">
        <is>
          <t>SEND MONEY TOTAL</t>
        </is>
      </c>
    </row>
    <row r="17" ht="28" customHeight="1">
      <c r="B17" s="21">
        <f>F14-M14-M17</f>
        <v/>
      </c>
      <c r="C17" s="15" t="n"/>
      <c r="D17" s="15" t="n"/>
      <c r="F17" s="22">
        <f>COUNTA('Revenue Split'!A29:A29)</f>
        <v/>
      </c>
      <c r="G17" s="17" t="n"/>
      <c r="H17" s="17" t="n"/>
      <c r="J17" s="23">
        <f>COUNTIF('Revenue Split'!G29:G29, "Received")</f>
        <v/>
      </c>
      <c r="K17" s="19" t="n"/>
      <c r="M17" s="24">
        <f>'Send Money'!B16</f>
        <v/>
      </c>
    </row>
    <row r="19" ht="24" customHeight="1">
      <c r="B19" s="25" t="inlineStr">
        <is>
          <t>OVERALL SUMMARY (Old + New Combined)</t>
        </is>
      </c>
    </row>
    <row r="21" ht="18" customHeight="1">
      <c r="B21" s="3" t="inlineStr">
        <is>
          <t>OVERALL REVENUE (PKR)</t>
        </is>
      </c>
      <c r="C21" s="4" t="n"/>
      <c r="D21" s="4" t="n"/>
      <c r="E21" s="4" t="n"/>
      <c r="F21" s="14" t="inlineStr">
        <is>
          <t>OVERALL NET PROFIT</t>
        </is>
      </c>
      <c r="G21" s="15" t="n"/>
      <c r="H21" s="15" t="n"/>
      <c r="I21" s="16" t="inlineStr">
        <is>
          <t>TOTAL PROJECTS</t>
        </is>
      </c>
      <c r="J21" s="17" t="n"/>
      <c r="K21" s="17" t="n"/>
      <c r="L21" s="18" t="inlineStr">
        <is>
          <t>PAYMENTS RECEIVED</t>
        </is>
      </c>
      <c r="M21" s="19" t="n"/>
    </row>
    <row r="22" ht="28" customHeight="1">
      <c r="B22" s="10">
        <f>B6+B14</f>
        <v/>
      </c>
      <c r="C22" s="4" t="n"/>
      <c r="D22" s="4" t="n"/>
      <c r="E22" s="4" t="n"/>
      <c r="F22" s="21">
        <f>B9+B17</f>
        <v/>
      </c>
      <c r="G22" s="15" t="n"/>
      <c r="H22" s="15" t="n"/>
      <c r="I22" s="22">
        <f>F9+F17</f>
        <v/>
      </c>
      <c r="J22" s="17" t="n"/>
      <c r="K22" s="17" t="n"/>
      <c r="L22" s="23">
        <f>J9+J17</f>
        <v/>
      </c>
      <c r="M22" s="19" t="n"/>
    </row>
  </sheetData>
  <mergeCells count="44">
    <mergeCell ref="B2:M2"/>
    <mergeCell ref="B14:D14"/>
    <mergeCell ref="F5:H5"/>
    <mergeCell ref="B11:M11"/>
    <mergeCell ref="J5:K5"/>
    <mergeCell ref="M17"/>
    <mergeCell ref="M8"/>
    <mergeCell ref="F21:H21"/>
    <mergeCell ref="B8:D8"/>
    <mergeCell ref="J14:K14"/>
    <mergeCell ref="I22:K22"/>
    <mergeCell ref="B17:D17"/>
    <mergeCell ref="F8:H8"/>
    <mergeCell ref="B13:D13"/>
    <mergeCell ref="M14"/>
    <mergeCell ref="F17:H17"/>
    <mergeCell ref="J13:K13"/>
    <mergeCell ref="I21:K21"/>
    <mergeCell ref="J9:K9"/>
    <mergeCell ref="F22:H22"/>
    <mergeCell ref="J6:K6"/>
    <mergeCell ref="F13:H13"/>
    <mergeCell ref="B19:M19"/>
    <mergeCell ref="B9:D9"/>
    <mergeCell ref="F9:H9"/>
    <mergeCell ref="B6:D6"/>
    <mergeCell ref="M5"/>
    <mergeCell ref="B22:E22"/>
    <mergeCell ref="M9"/>
    <mergeCell ref="B5:D5"/>
    <mergeCell ref="F14:H14"/>
    <mergeCell ref="J16:K16"/>
    <mergeCell ref="B21:E21"/>
    <mergeCell ref="L22:M22"/>
    <mergeCell ref="B16:D16"/>
    <mergeCell ref="F16:H16"/>
    <mergeCell ref="F6:H6"/>
    <mergeCell ref="M13"/>
    <mergeCell ref="L21:M21"/>
    <mergeCell ref="B3:M3"/>
    <mergeCell ref="M16"/>
    <mergeCell ref="M6"/>
    <mergeCell ref="J8:K8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28" customHeight="1">
      <c r="A1" s="1" t="inlineStr">
        <is>
          <t>HEXALEVEL — CLIENT PROJECTS TRACKER</t>
        </is>
      </c>
    </row>
    <row r="2" ht="24" customHeight="1">
      <c r="A2" s="26" t="inlineStr">
        <is>
          <t>Project Start</t>
        </is>
      </c>
      <c r="B2" s="27" t="inlineStr">
        <is>
          <t>Client Name</t>
        </is>
      </c>
      <c r="C2" s="27" t="inlineStr">
        <is>
          <t>Project Name</t>
        </is>
      </c>
      <c r="D2" s="26" t="inlineStr">
        <is>
          <t>Service Type</t>
        </is>
      </c>
      <c r="E2" s="26" t="inlineStr">
        <is>
          <t>Amount</t>
        </is>
      </c>
      <c r="F2" s="26" t="inlineStr">
        <is>
          <t>Currency</t>
        </is>
      </c>
      <c r="G2" s="26" t="inlineStr">
        <is>
          <t>Payment Status</t>
        </is>
      </c>
      <c r="H2" s="26" t="inlineStr">
        <is>
          <t>Payment Date</t>
        </is>
      </c>
      <c r="I2" s="27" t="inlineStr">
        <is>
          <t>Notes</t>
        </is>
      </c>
      <c r="J2" s="26" t="inlineStr">
        <is>
          <t>Bank</t>
        </is>
      </c>
    </row>
    <row r="3" ht="20" customHeight="1">
      <c r="A3" s="28" t="inlineStr">
        <is>
          <t>Dec 2025</t>
        </is>
      </c>
      <c r="B3" s="29" t="inlineStr">
        <is>
          <t>Ranked Skill</t>
        </is>
      </c>
      <c r="C3" s="29" t="inlineStr">
        <is>
          <t>Mortgage Leads flow</t>
        </is>
      </c>
      <c r="D3" s="28" t="inlineStr">
        <is>
          <t>CRM</t>
        </is>
      </c>
      <c r="E3" s="30" t="n">
        <v>25000</v>
      </c>
      <c r="F3" s="28" t="inlineStr">
        <is>
          <t>PKR</t>
        </is>
      </c>
      <c r="G3" s="28" t="inlineStr">
        <is>
          <t>Received</t>
        </is>
      </c>
      <c r="H3" s="28" t="inlineStr">
        <is>
          <t>12-Jan-2026</t>
        </is>
      </c>
      <c r="I3" s="29" t="inlineStr">
        <is>
          <t>Received</t>
        </is>
      </c>
      <c r="J3" s="28" t="inlineStr">
        <is>
          <t>Meezan</t>
        </is>
      </c>
    </row>
    <row r="4" ht="20" customHeight="1">
      <c r="A4" s="28" t="inlineStr">
        <is>
          <t>Jan 2026</t>
        </is>
      </c>
      <c r="B4" s="29" t="inlineStr">
        <is>
          <t>India</t>
        </is>
      </c>
      <c r="C4" s="29" t="inlineStr">
        <is>
          <t>Crm +Wp</t>
        </is>
      </c>
      <c r="D4" s="28" t="inlineStr">
        <is>
          <t>Both</t>
        </is>
      </c>
      <c r="E4" s="30" t="n">
        <v>15000</v>
      </c>
      <c r="F4" s="28" t="inlineStr">
        <is>
          <t>INR</t>
        </is>
      </c>
      <c r="G4" s="28" t="inlineStr">
        <is>
          <t>Received</t>
        </is>
      </c>
      <c r="H4" s="28" t="inlineStr">
        <is>
          <t>20-Feb-2026</t>
        </is>
      </c>
      <c r="I4" s="29" t="inlineStr">
        <is>
          <t>Received</t>
        </is>
      </c>
      <c r="J4" s="28" t="inlineStr">
        <is>
          <t>Payoneer</t>
        </is>
      </c>
    </row>
    <row r="5" ht="20" customHeight="1">
      <c r="A5" s="28" t="inlineStr">
        <is>
          <t>Jan 2026</t>
        </is>
      </c>
      <c r="B5" s="29" t="inlineStr">
        <is>
          <t>USA</t>
        </is>
      </c>
      <c r="C5" s="29" t="inlineStr">
        <is>
          <t>GHL all services</t>
        </is>
      </c>
      <c r="D5" s="28" t="inlineStr">
        <is>
          <t>CRM</t>
        </is>
      </c>
      <c r="E5" s="30" t="n">
        <v>350</v>
      </c>
      <c r="F5" s="28" t="inlineStr">
        <is>
          <t>USD</t>
        </is>
      </c>
      <c r="G5" s="28" t="inlineStr">
        <is>
          <t>Pending</t>
        </is>
      </c>
      <c r="H5" s="28" t="inlineStr"/>
      <c r="I5" s="29" t="inlineStr">
        <is>
          <t>Waiting for payment</t>
        </is>
      </c>
      <c r="J5" s="28" t="inlineStr"/>
    </row>
    <row r="6" ht="20" customHeight="1">
      <c r="A6" s="28" t="inlineStr">
        <is>
          <t>Jan 2026</t>
        </is>
      </c>
      <c r="B6" s="29" t="inlineStr">
        <is>
          <t>Lahore</t>
        </is>
      </c>
      <c r="C6" s="29" t="inlineStr">
        <is>
          <t>Life insurance</t>
        </is>
      </c>
      <c r="D6" s="28" t="inlineStr">
        <is>
          <t>CRM</t>
        </is>
      </c>
      <c r="E6" s="30" t="n">
        <v>40000</v>
      </c>
      <c r="F6" s="28" t="inlineStr">
        <is>
          <t>PKR</t>
        </is>
      </c>
      <c r="G6" s="28" t="inlineStr">
        <is>
          <t>Received</t>
        </is>
      </c>
      <c r="H6" s="28" t="inlineStr">
        <is>
          <t>21-Feb-2026</t>
        </is>
      </c>
      <c r="I6" s="29" t="inlineStr">
        <is>
          <t>Received</t>
        </is>
      </c>
      <c r="J6" s="28" t="inlineStr">
        <is>
          <t>HBL</t>
        </is>
      </c>
    </row>
    <row r="7" ht="20" customHeight="1">
      <c r="A7" s="28" t="inlineStr">
        <is>
          <t>Jan 2026</t>
        </is>
      </c>
      <c r="B7" s="29" t="inlineStr">
        <is>
          <t>Mehroz</t>
        </is>
      </c>
      <c r="C7" s="29" t="inlineStr">
        <is>
          <t>GHL Work</t>
        </is>
      </c>
      <c r="D7" s="28" t="inlineStr">
        <is>
          <t>CRM</t>
        </is>
      </c>
      <c r="E7" s="30" t="n">
        <v>28600</v>
      </c>
      <c r="F7" s="28" t="inlineStr">
        <is>
          <t>PKR</t>
        </is>
      </c>
      <c r="G7" s="28" t="inlineStr">
        <is>
          <t>Received</t>
        </is>
      </c>
      <c r="H7" s="28" t="inlineStr">
        <is>
          <t>3 Mar 2026</t>
        </is>
      </c>
      <c r="I7" s="29" t="inlineStr">
        <is>
          <t>Received</t>
        </is>
      </c>
      <c r="J7" s="28" t="inlineStr">
        <is>
          <t>Meezan</t>
        </is>
      </c>
    </row>
    <row r="8" ht="20" customHeight="1">
      <c r="A8" s="28" t="inlineStr">
        <is>
          <t>Dec 2025</t>
        </is>
      </c>
      <c r="B8" s="29" t="inlineStr">
        <is>
          <t>Waleed</t>
        </is>
      </c>
      <c r="C8" s="29" t="inlineStr">
        <is>
          <t>Seo site</t>
        </is>
      </c>
      <c r="D8" s="28" t="inlineStr">
        <is>
          <t>WP</t>
        </is>
      </c>
      <c r="E8" s="30" t="n">
        <v>29000</v>
      </c>
      <c r="F8" s="28" t="inlineStr">
        <is>
          <t>PKR</t>
        </is>
      </c>
      <c r="G8" s="28" t="inlineStr">
        <is>
          <t>Received</t>
        </is>
      </c>
      <c r="H8" s="28" t="inlineStr">
        <is>
          <t>25 Feb 2026</t>
        </is>
      </c>
      <c r="I8" s="29" t="inlineStr">
        <is>
          <t>Received</t>
        </is>
      </c>
      <c r="J8" s="28" t="inlineStr">
        <is>
          <t>Nayapay</t>
        </is>
      </c>
    </row>
    <row r="9" ht="20" customHeight="1">
      <c r="A9" s="28" t="inlineStr">
        <is>
          <t>Mar 2026</t>
        </is>
      </c>
      <c r="B9" s="29" t="inlineStr">
        <is>
          <t>Upwork</t>
        </is>
      </c>
      <c r="C9" s="29" t="inlineStr">
        <is>
          <t>Funnel designing</t>
        </is>
      </c>
      <c r="D9" s="28" t="inlineStr">
        <is>
          <t>CRM</t>
        </is>
      </c>
      <c r="E9" s="30" t="n">
        <v>9382</v>
      </c>
      <c r="F9" s="28" t="inlineStr">
        <is>
          <t>PKR</t>
        </is>
      </c>
      <c r="G9" s="28" t="inlineStr">
        <is>
          <t>Received</t>
        </is>
      </c>
      <c r="H9" s="28" t="inlineStr">
        <is>
          <t>15 Mar 2026</t>
        </is>
      </c>
      <c r="I9" s="29" t="inlineStr">
        <is>
          <t>Received</t>
        </is>
      </c>
      <c r="J9" s="28" t="inlineStr">
        <is>
          <t>Meezan</t>
        </is>
      </c>
    </row>
    <row r="10" ht="20" customHeight="1">
      <c r="A10" s="28" t="inlineStr">
        <is>
          <t>Mar 2026</t>
        </is>
      </c>
      <c r="B10" s="29" t="inlineStr">
        <is>
          <t>India</t>
        </is>
      </c>
      <c r="C10" s="29" t="inlineStr">
        <is>
          <t>Crm +Wp</t>
        </is>
      </c>
      <c r="D10" s="28" t="inlineStr">
        <is>
          <t>Both</t>
        </is>
      </c>
      <c r="E10" s="30" t="n">
        <v>15000</v>
      </c>
      <c r="F10" s="28" t="inlineStr">
        <is>
          <t>INR</t>
        </is>
      </c>
      <c r="G10" s="28" t="inlineStr">
        <is>
          <t>Received</t>
        </is>
      </c>
      <c r="H10" s="28" t="inlineStr">
        <is>
          <t>20-Feb-2026</t>
        </is>
      </c>
      <c r="I10" s="29" t="inlineStr">
        <is>
          <t>Received</t>
        </is>
      </c>
      <c r="J10" s="28" t="inlineStr">
        <is>
          <t>Payoneer</t>
        </is>
      </c>
    </row>
    <row r="11" ht="20" customHeight="1">
      <c r="A11" s="28" t="inlineStr">
        <is>
          <t>Mar 2026</t>
        </is>
      </c>
      <c r="B11" s="29" t="inlineStr">
        <is>
          <t>Mehroz</t>
        </is>
      </c>
      <c r="C11" s="29" t="inlineStr">
        <is>
          <t>A2p</t>
        </is>
      </c>
      <c r="D11" s="28" t="inlineStr">
        <is>
          <t>CRM</t>
        </is>
      </c>
      <c r="E11" s="30" t="n">
        <v>19250</v>
      </c>
      <c r="F11" s="28" t="inlineStr">
        <is>
          <t>PKR</t>
        </is>
      </c>
      <c r="G11" s="28" t="inlineStr">
        <is>
          <t>Received</t>
        </is>
      </c>
      <c r="H11" s="28" t="inlineStr">
        <is>
          <t>27 Mar 2026</t>
        </is>
      </c>
      <c r="I11" s="29" t="inlineStr">
        <is>
          <t>Received</t>
        </is>
      </c>
      <c r="J11" s="28" t="inlineStr">
        <is>
          <t>Meezan</t>
        </is>
      </c>
    </row>
    <row r="12" ht="20" customHeight="1">
      <c r="A12" s="28" t="inlineStr">
        <is>
          <t>April 2026</t>
        </is>
      </c>
      <c r="B12" s="29" t="inlineStr">
        <is>
          <t>haris</t>
        </is>
      </c>
      <c r="C12" s="29" t="inlineStr">
        <is>
          <t>GHL</t>
        </is>
      </c>
      <c r="D12" s="28" t="inlineStr">
        <is>
          <t>CRM</t>
        </is>
      </c>
      <c r="E12" s="30" t="n">
        <v>46334</v>
      </c>
      <c r="F12" s="28" t="inlineStr">
        <is>
          <t>PKR</t>
        </is>
      </c>
      <c r="G12" s="28" t="inlineStr">
        <is>
          <t>Received</t>
        </is>
      </c>
      <c r="H12" s="28" t="inlineStr">
        <is>
          <t>6 April 2026</t>
        </is>
      </c>
      <c r="I12" s="29" t="inlineStr">
        <is>
          <t>Received</t>
        </is>
      </c>
      <c r="J12" s="28" t="inlineStr">
        <is>
          <t>Payoneer</t>
        </is>
      </c>
    </row>
    <row r="13" ht="20" customHeight="1">
      <c r="A13" s="28" t="inlineStr">
        <is>
          <t>April 2026</t>
        </is>
      </c>
      <c r="B13" s="29" t="inlineStr">
        <is>
          <t>Mehroz</t>
        </is>
      </c>
      <c r="C13" s="29" t="inlineStr">
        <is>
          <t>A2p</t>
        </is>
      </c>
      <c r="D13" s="28" t="inlineStr">
        <is>
          <t>CRM</t>
        </is>
      </c>
      <c r="E13" s="30" t="n">
        <v>33600</v>
      </c>
      <c r="F13" s="28" t="inlineStr">
        <is>
          <t>PKR</t>
        </is>
      </c>
      <c r="G13" s="28" t="inlineStr">
        <is>
          <t>Received</t>
        </is>
      </c>
      <c r="H13" s="28" t="inlineStr">
        <is>
          <t>16 April 2026</t>
        </is>
      </c>
      <c r="I13" s="29" t="inlineStr">
        <is>
          <t>Received</t>
        </is>
      </c>
      <c r="J13" s="28" t="inlineStr">
        <is>
          <t>Meezan</t>
        </is>
      </c>
    </row>
    <row r="14" ht="20" customHeight="1">
      <c r="A14" s="28" t="inlineStr">
        <is>
          <t>April 2026</t>
        </is>
      </c>
      <c r="B14" s="29" t="inlineStr">
        <is>
          <t>India</t>
        </is>
      </c>
      <c r="C14" s="29" t="inlineStr">
        <is>
          <t>CRM+WP</t>
        </is>
      </c>
      <c r="D14" s="28" t="inlineStr">
        <is>
          <t>Both</t>
        </is>
      </c>
      <c r="E14" s="30" t="n">
        <v>42199</v>
      </c>
      <c r="F14" s="28" t="inlineStr">
        <is>
          <t>PKR</t>
        </is>
      </c>
      <c r="G14" s="28" t="inlineStr">
        <is>
          <t>Received</t>
        </is>
      </c>
      <c r="H14" s="28" t="inlineStr">
        <is>
          <t>24 April 2026</t>
        </is>
      </c>
      <c r="I14" s="29" t="inlineStr">
        <is>
          <t>Received</t>
        </is>
      </c>
      <c r="J14" s="28" t="inlineStr">
        <is>
          <t>Payoneer</t>
        </is>
      </c>
    </row>
    <row r="15" ht="20" customHeight="1">
      <c r="A15" s="28" t="inlineStr">
        <is>
          <t>April 2026</t>
        </is>
      </c>
      <c r="B15" s="29" t="inlineStr">
        <is>
          <t>Usa + Fiver</t>
        </is>
      </c>
      <c r="C15" s="29" t="inlineStr">
        <is>
          <t>GHL</t>
        </is>
      </c>
      <c r="D15" s="28" t="inlineStr">
        <is>
          <t>CRM</t>
        </is>
      </c>
      <c r="E15" s="30" t="n">
        <v>80163</v>
      </c>
      <c r="F15" s="28" t="inlineStr">
        <is>
          <t>PKR</t>
        </is>
      </c>
      <c r="G15" s="28" t="inlineStr">
        <is>
          <t>Received</t>
        </is>
      </c>
      <c r="H15" s="28" t="inlineStr">
        <is>
          <t>25 April 2026</t>
        </is>
      </c>
      <c r="I15" s="29" t="inlineStr">
        <is>
          <t>Received</t>
        </is>
      </c>
      <c r="J15" s="28" t="inlineStr">
        <is>
          <t>HBL</t>
        </is>
      </c>
    </row>
    <row r="16" ht="20" customHeight="1">
      <c r="A16" s="28" t="inlineStr">
        <is>
          <t>May 2026</t>
        </is>
      </c>
      <c r="B16" s="29" t="inlineStr">
        <is>
          <t>Haris</t>
        </is>
      </c>
      <c r="C16" s="29" t="inlineStr">
        <is>
          <t>GHL</t>
        </is>
      </c>
      <c r="D16" s="28" t="inlineStr">
        <is>
          <t>CRM</t>
        </is>
      </c>
      <c r="E16" s="30" t="n">
        <v>44401</v>
      </c>
      <c r="F16" s="28" t="inlineStr">
        <is>
          <t>PKR</t>
        </is>
      </c>
      <c r="G16" s="28" t="inlineStr">
        <is>
          <t>Received</t>
        </is>
      </c>
      <c r="H16" s="28" t="inlineStr">
        <is>
          <t>3 May 2026</t>
        </is>
      </c>
      <c r="I16" s="29" t="inlineStr">
        <is>
          <t>Received</t>
        </is>
      </c>
      <c r="J16" s="28" t="inlineStr">
        <is>
          <t>Payoneer</t>
        </is>
      </c>
    </row>
    <row r="17" ht="20" customHeight="1">
      <c r="A17" s="28" t="inlineStr">
        <is>
          <t>May 2026</t>
        </is>
      </c>
      <c r="B17" s="29" t="inlineStr">
        <is>
          <t>Usa</t>
        </is>
      </c>
      <c r="C17" s="29" t="inlineStr">
        <is>
          <t>GHL</t>
        </is>
      </c>
      <c r="D17" s="28" t="inlineStr">
        <is>
          <t>CRM</t>
        </is>
      </c>
      <c r="E17" s="30" t="n">
        <v>85616</v>
      </c>
      <c r="F17" s="28" t="inlineStr">
        <is>
          <t>PKR</t>
        </is>
      </c>
      <c r="G17" s="28" t="inlineStr">
        <is>
          <t>Received</t>
        </is>
      </c>
      <c r="H17" s="28" t="inlineStr">
        <is>
          <t>15 May 2026</t>
        </is>
      </c>
      <c r="I17" s="29" t="inlineStr">
        <is>
          <t>Received</t>
        </is>
      </c>
      <c r="J17" s="28" t="inlineStr">
        <is>
          <t>Askari</t>
        </is>
      </c>
    </row>
    <row r="18" ht="20" customHeight="1">
      <c r="A18" s="28" t="inlineStr">
        <is>
          <t>May 2026</t>
        </is>
      </c>
      <c r="B18" s="29" t="inlineStr">
        <is>
          <t>Mehroz</t>
        </is>
      </c>
      <c r="C18" s="29" t="inlineStr">
        <is>
          <t>A2P</t>
        </is>
      </c>
      <c r="D18" s="28" t="inlineStr">
        <is>
          <t>CRM</t>
        </is>
      </c>
      <c r="E18" s="30" t="n">
        <v>29400</v>
      </c>
      <c r="F18" s="28" t="inlineStr">
        <is>
          <t>PKR</t>
        </is>
      </c>
      <c r="G18" s="28" t="inlineStr">
        <is>
          <t>Received</t>
        </is>
      </c>
      <c r="H18" s="28" t="inlineStr">
        <is>
          <t>18 May 2026</t>
        </is>
      </c>
      <c r="I18" s="29" t="inlineStr">
        <is>
          <t>Received</t>
        </is>
      </c>
      <c r="J18" s="28" t="inlineStr">
        <is>
          <t>Askari</t>
        </is>
      </c>
    </row>
    <row r="19" ht="20" customHeight="1">
      <c r="A19" s="28" t="inlineStr">
        <is>
          <t>June 2026</t>
        </is>
      </c>
      <c r="B19" s="29" t="inlineStr">
        <is>
          <t>Haris</t>
        </is>
      </c>
      <c r="C19" s="29" t="inlineStr">
        <is>
          <t>GHL</t>
        </is>
      </c>
      <c r="D19" s="28" t="inlineStr">
        <is>
          <t>CRM</t>
        </is>
      </c>
      <c r="E19" s="30" t="n">
        <v>44614</v>
      </c>
      <c r="F19" s="28" t="inlineStr">
        <is>
          <t>PKR</t>
        </is>
      </c>
      <c r="G19" s="28" t="inlineStr">
        <is>
          <t>Received</t>
        </is>
      </c>
      <c r="H19" s="28" t="inlineStr">
        <is>
          <t>4 June 2026</t>
        </is>
      </c>
      <c r="I19" s="29" t="inlineStr">
        <is>
          <t>Received</t>
        </is>
      </c>
      <c r="J19" s="28" t="inlineStr">
        <is>
          <t>Payoneer</t>
        </is>
      </c>
    </row>
    <row r="20" ht="20" customHeight="1">
      <c r="A20" s="28" t="inlineStr">
        <is>
          <t>20/06/2026</t>
        </is>
      </c>
      <c r="B20" s="29" t="inlineStr">
        <is>
          <t>shelim</t>
        </is>
      </c>
      <c r="C20" s="29" t="inlineStr">
        <is>
          <t>WP</t>
        </is>
      </c>
      <c r="D20" s="28" t="inlineStr">
        <is>
          <t>WP</t>
        </is>
      </c>
      <c r="E20" s="30" t="n">
        <v>7000</v>
      </c>
      <c r="F20" s="28" t="inlineStr">
        <is>
          <t>PKR</t>
        </is>
      </c>
      <c r="G20" s="28" t="inlineStr">
        <is>
          <t>Received</t>
        </is>
      </c>
      <c r="H20" s="28" t="inlineStr">
        <is>
          <t>20 June 2026</t>
        </is>
      </c>
      <c r="I20" s="29" t="inlineStr">
        <is>
          <t>Received</t>
        </is>
      </c>
      <c r="J20" s="28" t="inlineStr">
        <is>
          <t>Askari</t>
        </is>
      </c>
    </row>
    <row r="21" ht="20" customHeight="1">
      <c r="A21" s="28" t="inlineStr">
        <is>
          <t>12/07/2026</t>
        </is>
      </c>
      <c r="B21" s="29" t="inlineStr">
        <is>
          <t>Sheen</t>
        </is>
      </c>
      <c r="C21" s="29" t="inlineStr">
        <is>
          <t>GHL</t>
        </is>
      </c>
      <c r="D21" s="28" t="inlineStr">
        <is>
          <t>CRM</t>
        </is>
      </c>
      <c r="E21" s="30" t="n">
        <v>15000</v>
      </c>
      <c r="F21" s="28" t="inlineStr">
        <is>
          <t>PKR</t>
        </is>
      </c>
      <c r="G21" s="28" t="inlineStr">
        <is>
          <t>Received</t>
        </is>
      </c>
      <c r="H21" s="28" t="inlineStr">
        <is>
          <t>12/07/2026</t>
        </is>
      </c>
      <c r="I21" s="29" t="inlineStr">
        <is>
          <t>Received</t>
        </is>
      </c>
      <c r="J21" s="28" t="inlineStr">
        <is>
          <t>Meezan</t>
        </is>
      </c>
    </row>
    <row r="22" ht="20" customHeight="1">
      <c r="A22" s="28" t="inlineStr">
        <is>
          <t>12/09/2026</t>
        </is>
      </c>
      <c r="B22" s="29" t="inlineStr">
        <is>
          <t>Usa</t>
        </is>
      </c>
      <c r="C22" s="29" t="inlineStr">
        <is>
          <t>GHL</t>
        </is>
      </c>
      <c r="D22" s="28" t="inlineStr">
        <is>
          <t>CRM</t>
        </is>
      </c>
      <c r="E22" s="30" t="n">
        <v>23113</v>
      </c>
      <c r="F22" s="28" t="inlineStr">
        <is>
          <t>PKR</t>
        </is>
      </c>
      <c r="G22" s="28" t="inlineStr">
        <is>
          <t>Received</t>
        </is>
      </c>
      <c r="H22" s="28" t="inlineStr">
        <is>
          <t>12/09/2026</t>
        </is>
      </c>
      <c r="I22" s="29" t="inlineStr">
        <is>
          <t>Received</t>
        </is>
      </c>
      <c r="J22" s="28" t="inlineStr">
        <is>
          <t>Askari</t>
        </is>
      </c>
    </row>
    <row r="23" ht="20" customHeight="1">
      <c r="A23" s="28" t="inlineStr">
        <is>
          <t>30/09/2026</t>
        </is>
      </c>
      <c r="B23" s="29" t="inlineStr">
        <is>
          <t>USA</t>
        </is>
      </c>
      <c r="C23" s="29" t="inlineStr">
        <is>
          <t>GHL</t>
        </is>
      </c>
      <c r="D23" s="28" t="inlineStr">
        <is>
          <t>CRM</t>
        </is>
      </c>
      <c r="E23" s="30" t="n">
        <v>21920</v>
      </c>
      <c r="F23" s="28" t="inlineStr">
        <is>
          <t>PKR</t>
        </is>
      </c>
      <c r="G23" s="28" t="inlineStr">
        <is>
          <t>Received</t>
        </is>
      </c>
      <c r="H23" s="28" t="inlineStr">
        <is>
          <t>30/09/2026</t>
        </is>
      </c>
      <c r="I23" s="29" t="inlineStr">
        <is>
          <t>Received</t>
        </is>
      </c>
      <c r="J23" s="28" t="inlineStr">
        <is>
          <t>Askari</t>
        </is>
      </c>
    </row>
    <row r="24" ht="20" customHeight="1">
      <c r="A24" s="28" t="inlineStr">
        <is>
          <t>27/10/2026</t>
        </is>
      </c>
      <c r="B24" s="29" t="inlineStr">
        <is>
          <t>USA</t>
        </is>
      </c>
      <c r="C24" s="29" t="inlineStr">
        <is>
          <t>GHL</t>
        </is>
      </c>
      <c r="D24" s="28" t="inlineStr">
        <is>
          <t>CRM</t>
        </is>
      </c>
      <c r="E24" s="30" t="n">
        <v>36099</v>
      </c>
      <c r="F24" s="28" t="inlineStr">
        <is>
          <t>PKR</t>
        </is>
      </c>
      <c r="G24" s="28" t="inlineStr">
        <is>
          <t>Received</t>
        </is>
      </c>
      <c r="H24" s="28" t="inlineStr">
        <is>
          <t>27/10/2026</t>
        </is>
      </c>
      <c r="I24" s="29" t="inlineStr">
        <is>
          <t>Received</t>
        </is>
      </c>
      <c r="J24" s="28" t="inlineStr">
        <is>
          <t>Askari</t>
        </is>
      </c>
    </row>
    <row r="25">
      <c r="A25" s="31" t="inlineStr">
        <is>
          <t>TOTAL</t>
        </is>
      </c>
      <c r="B25" s="32" t="n"/>
      <c r="C25" s="32" t="n"/>
      <c r="D25" s="32" t="n"/>
      <c r="E25" s="33">
        <f>SUM(E3:E24)</f>
        <v/>
      </c>
      <c r="F25" s="32" t="n"/>
      <c r="G25" s="32" t="n"/>
      <c r="H25" s="32" t="n"/>
      <c r="I25" s="32" t="n"/>
      <c r="J25" s="32" t="n"/>
    </row>
    <row r="26" ht="20" customHeight="1">
      <c r="A26" s="28" t="inlineStr">
        <is>
          <t>19/10/26</t>
        </is>
      </c>
      <c r="B26" s="29" t="inlineStr">
        <is>
          <t>Umair</t>
        </is>
      </c>
      <c r="C26" s="29" t="inlineStr">
        <is>
          <t>GHL</t>
        </is>
      </c>
      <c r="D26" s="28" t="inlineStr">
        <is>
          <t>CRM</t>
        </is>
      </c>
      <c r="E26" s="30" t="n">
        <v>20000</v>
      </c>
      <c r="F26" s="28" t="inlineStr">
        <is>
          <t>PKR</t>
        </is>
      </c>
      <c r="G26" s="28" t="inlineStr">
        <is>
          <t>Received</t>
        </is>
      </c>
      <c r="H26" s="28" t="inlineStr">
        <is>
          <t>19/10/26</t>
        </is>
      </c>
      <c r="I26" s="29" t="inlineStr">
        <is>
          <t>Received</t>
        </is>
      </c>
      <c r="J26" s="28" t="inlineStr">
        <is>
          <t>Meezan</t>
        </is>
      </c>
    </row>
  </sheetData>
  <mergeCells count="2">
    <mergeCell ref="A1:J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8" customWidth="1" min="13" max="13"/>
  </cols>
  <sheetData>
    <row r="1" ht="28" customHeight="1">
      <c r="A1" s="1" t="inlineStr">
        <is>
          <t>HEXALEVEL — REVENUE SPLIT  |  50% Company · 50% Team</t>
        </is>
      </c>
    </row>
    <row r="2" ht="22" customHeight="1">
      <c r="A2" s="26" t="inlineStr">
        <is>
          <t>Month</t>
        </is>
      </c>
      <c r="B2" s="34" t="inlineStr">
        <is>
          <t>Amount (PKR)</t>
        </is>
      </c>
      <c r="C2" s="34" t="inlineStr">
        <is>
          <t>Company 50%</t>
        </is>
      </c>
      <c r="D2" s="34" t="inlineStr">
        <is>
          <t>Team 50%</t>
        </is>
      </c>
      <c r="E2" s="26" t="inlineStr">
        <is>
          <t>Status</t>
        </is>
      </c>
      <c r="F2" s="26" t="inlineStr">
        <is>
          <t>Date Received</t>
        </is>
      </c>
      <c r="G2" s="26" t="inlineStr">
        <is>
          <t>Shaista</t>
        </is>
      </c>
      <c r="H2" s="26" t="inlineStr">
        <is>
          <t>Amara</t>
        </is>
      </c>
      <c r="I2" s="26" t="inlineStr">
        <is>
          <t>Tax on Transfer</t>
        </is>
      </c>
    </row>
    <row r="3" ht="19" customHeight="1">
      <c r="A3" s="28" t="inlineStr">
        <is>
          <t>DEC</t>
        </is>
      </c>
      <c r="B3" s="35" t="n">
        <v>25000</v>
      </c>
      <c r="C3" s="35">
        <f>B3*0.5</f>
        <v/>
      </c>
      <c r="D3" s="35">
        <f>B3*0.5</f>
        <v/>
      </c>
      <c r="E3" s="28" t="inlineStr">
        <is>
          <t>Received</t>
        </is>
      </c>
      <c r="F3" s="28" t="inlineStr">
        <is>
          <t>26 Jan 2026</t>
        </is>
      </c>
      <c r="G3" s="28" t="inlineStr">
        <is>
          <t>Nayapay</t>
        </is>
      </c>
      <c r="H3" s="28" t="inlineStr">
        <is>
          <t>Askari</t>
        </is>
      </c>
      <c r="I3" s="28" t="inlineStr"/>
    </row>
    <row r="4" ht="19" customHeight="1">
      <c r="A4" s="28" t="inlineStr">
        <is>
          <t>FEB</t>
        </is>
      </c>
      <c r="B4" s="35" t="n">
        <v>54541</v>
      </c>
      <c r="C4" s="35">
        <f>B4*0.5</f>
        <v/>
      </c>
      <c r="D4" s="35">
        <f>B4*0.5</f>
        <v/>
      </c>
      <c r="E4" s="28" t="inlineStr">
        <is>
          <t>Received</t>
        </is>
      </c>
      <c r="F4" s="28" t="inlineStr">
        <is>
          <t>20 Feb 2026</t>
        </is>
      </c>
      <c r="G4" s="28" t="inlineStr">
        <is>
          <t>Nayapay</t>
        </is>
      </c>
      <c r="H4" s="28" t="inlineStr">
        <is>
          <t>Askari</t>
        </is>
      </c>
      <c r="I4" s="28" t="inlineStr"/>
    </row>
    <row r="5" ht="19" customHeight="1">
      <c r="A5" s="28" t="inlineStr">
        <is>
          <t>FEB</t>
        </is>
      </c>
      <c r="B5" s="35" t="n">
        <v>40000</v>
      </c>
      <c r="C5" s="35">
        <f>B5*0.5</f>
        <v/>
      </c>
      <c r="D5" s="35">
        <f>B5*0.5</f>
        <v/>
      </c>
      <c r="E5" s="28" t="inlineStr">
        <is>
          <t>Received</t>
        </is>
      </c>
      <c r="F5" s="28" t="inlineStr">
        <is>
          <t>21 Feb 2026</t>
        </is>
      </c>
      <c r="G5" s="28" t="inlineStr">
        <is>
          <t>HBI</t>
        </is>
      </c>
      <c r="H5" s="28" t="inlineStr">
        <is>
          <t>Askari</t>
        </is>
      </c>
      <c r="I5" s="28" t="inlineStr"/>
    </row>
    <row r="6" ht="19" customHeight="1">
      <c r="A6" s="28" t="inlineStr">
        <is>
          <t>FEB</t>
        </is>
      </c>
      <c r="B6" s="35" t="n">
        <v>29000</v>
      </c>
      <c r="C6" s="35">
        <f>B6*0.5</f>
        <v/>
      </c>
      <c r="D6" s="35">
        <f>B6*0.5</f>
        <v/>
      </c>
      <c r="E6" s="28" t="inlineStr">
        <is>
          <t>Received</t>
        </is>
      </c>
      <c r="F6" s="28" t="inlineStr">
        <is>
          <t>25 Feb 2026</t>
        </is>
      </c>
      <c r="G6" s="28" t="inlineStr">
        <is>
          <t>Nayapay</t>
        </is>
      </c>
      <c r="H6" s="28" t="inlineStr">
        <is>
          <t>Askari</t>
        </is>
      </c>
      <c r="I6" s="28" t="inlineStr"/>
    </row>
    <row r="7" ht="19" customHeight="1">
      <c r="A7" s="28" t="inlineStr">
        <is>
          <t>March</t>
        </is>
      </c>
      <c r="B7" s="35" t="n">
        <v>28600</v>
      </c>
      <c r="C7" s="35">
        <f>B7*0.5</f>
        <v/>
      </c>
      <c r="D7" s="35">
        <f>B7*0.5</f>
        <v/>
      </c>
      <c r="E7" s="28" t="inlineStr">
        <is>
          <t>Received</t>
        </is>
      </c>
      <c r="F7" s="28" t="inlineStr">
        <is>
          <t>3 Mar 2026</t>
        </is>
      </c>
      <c r="G7" s="28" t="inlineStr">
        <is>
          <t>Nayapay</t>
        </is>
      </c>
      <c r="H7" s="28" t="inlineStr">
        <is>
          <t>Nayapay</t>
        </is>
      </c>
      <c r="I7" s="28" t="inlineStr"/>
    </row>
    <row r="8" ht="19" customHeight="1">
      <c r="A8" s="28" t="inlineStr">
        <is>
          <t>March</t>
        </is>
      </c>
      <c r="B8" s="35" t="n">
        <v>9382</v>
      </c>
      <c r="C8" s="35">
        <f>B8*0.5</f>
        <v/>
      </c>
      <c r="D8" s="35">
        <f>B8*0.5</f>
        <v/>
      </c>
      <c r="E8" s="28" t="inlineStr">
        <is>
          <t>Received</t>
        </is>
      </c>
      <c r="F8" s="28" t="inlineStr">
        <is>
          <t>15 Mar 2026</t>
        </is>
      </c>
      <c r="G8" s="28" t="inlineStr">
        <is>
          <t>Nayapay</t>
        </is>
      </c>
      <c r="H8" s="28" t="inlineStr">
        <is>
          <t>Nayapay</t>
        </is>
      </c>
      <c r="I8" s="28" t="inlineStr"/>
    </row>
    <row r="9" ht="19" customHeight="1">
      <c r="A9" s="28" t="inlineStr">
        <is>
          <t>March</t>
        </is>
      </c>
      <c r="B9" s="35" t="n">
        <v>42671</v>
      </c>
      <c r="C9" s="35">
        <f>B9*0.5</f>
        <v/>
      </c>
      <c r="D9" s="35">
        <f>B9*0.5</f>
        <v/>
      </c>
      <c r="E9" s="28" t="inlineStr">
        <is>
          <t>Received</t>
        </is>
      </c>
      <c r="F9" s="28" t="inlineStr">
        <is>
          <t>25 Mar 2026</t>
        </is>
      </c>
      <c r="G9" s="28" t="inlineStr">
        <is>
          <t>Nayapay</t>
        </is>
      </c>
      <c r="H9" s="28" t="inlineStr">
        <is>
          <t>Nayapay</t>
        </is>
      </c>
      <c r="I9" s="28" t="inlineStr"/>
    </row>
    <row r="10" ht="19" customHeight="1">
      <c r="A10" s="28" t="inlineStr">
        <is>
          <t>March</t>
        </is>
      </c>
      <c r="B10" s="35" t="n">
        <v>19250</v>
      </c>
      <c r="C10" s="35">
        <f>B10*0.5</f>
        <v/>
      </c>
      <c r="D10" s="35">
        <f>B10*0.5</f>
        <v/>
      </c>
      <c r="E10" s="28" t="inlineStr">
        <is>
          <t>Received</t>
        </is>
      </c>
      <c r="F10" s="28" t="inlineStr">
        <is>
          <t>27 Mar 2026</t>
        </is>
      </c>
      <c r="G10" s="28" t="inlineStr">
        <is>
          <t>Nayapay</t>
        </is>
      </c>
      <c r="H10" s="28" t="inlineStr">
        <is>
          <t>Nayapay</t>
        </is>
      </c>
      <c r="I10" s="28" t="inlineStr"/>
    </row>
    <row r="11" ht="19" customHeight="1">
      <c r="A11" s="28" t="inlineStr">
        <is>
          <t>April</t>
        </is>
      </c>
      <c r="B11" s="35" t="n">
        <v>46334</v>
      </c>
      <c r="C11" s="35">
        <f>B11*0.5</f>
        <v/>
      </c>
      <c r="D11" s="35">
        <f>B11*0.5</f>
        <v/>
      </c>
      <c r="E11" s="28" t="inlineStr">
        <is>
          <t>Received</t>
        </is>
      </c>
      <c r="F11" s="28" t="inlineStr">
        <is>
          <t>6 Apr 2026</t>
        </is>
      </c>
      <c r="G11" s="28" t="inlineStr">
        <is>
          <t>Nayapay</t>
        </is>
      </c>
      <c r="H11" s="28" t="inlineStr">
        <is>
          <t>Askari</t>
        </is>
      </c>
      <c r="I11" s="28" t="inlineStr"/>
    </row>
    <row r="12" ht="19" customHeight="1">
      <c r="A12" s="28" t="inlineStr">
        <is>
          <t>April</t>
        </is>
      </c>
      <c r="B12" s="35" t="n">
        <v>33600</v>
      </c>
      <c r="C12" s="35">
        <f>B12*0.5</f>
        <v/>
      </c>
      <c r="D12" s="35">
        <f>B12*0.5</f>
        <v/>
      </c>
      <c r="E12" s="28" t="inlineStr">
        <is>
          <t>Received</t>
        </is>
      </c>
      <c r="F12" s="28" t="inlineStr">
        <is>
          <t>16 Apr 2026</t>
        </is>
      </c>
      <c r="G12" s="28" t="inlineStr">
        <is>
          <t>Nayapay</t>
        </is>
      </c>
      <c r="H12" s="28" t="inlineStr">
        <is>
          <t>Askari</t>
        </is>
      </c>
      <c r="I12" s="28" t="inlineStr"/>
    </row>
    <row r="13" ht="19" customHeight="1">
      <c r="A13" s="28" t="inlineStr">
        <is>
          <t>April</t>
        </is>
      </c>
      <c r="B13" s="35" t="n">
        <v>42199</v>
      </c>
      <c r="C13" s="35">
        <f>B13*0.5</f>
        <v/>
      </c>
      <c r="D13" s="35">
        <f>B13*0.5</f>
        <v/>
      </c>
      <c r="E13" s="28" t="inlineStr">
        <is>
          <t>Received</t>
        </is>
      </c>
      <c r="F13" s="28" t="inlineStr">
        <is>
          <t>24 Apr 2026</t>
        </is>
      </c>
      <c r="G13" s="28" t="inlineStr">
        <is>
          <t>Nayapay</t>
        </is>
      </c>
      <c r="H13" s="28" t="inlineStr">
        <is>
          <t>Askari</t>
        </is>
      </c>
      <c r="I13" s="28" t="inlineStr"/>
    </row>
    <row r="14" ht="19" customHeight="1">
      <c r="A14" s="28" t="inlineStr">
        <is>
          <t>April</t>
        </is>
      </c>
      <c r="B14" s="35" t="n">
        <v>80163</v>
      </c>
      <c r="C14" s="35">
        <f>B14*0.5</f>
        <v/>
      </c>
      <c r="D14" s="35">
        <f>B14*0.5</f>
        <v/>
      </c>
      <c r="E14" s="28" t="inlineStr">
        <is>
          <t>Received</t>
        </is>
      </c>
      <c r="F14" s="28" t="inlineStr">
        <is>
          <t>25 Apr 2026</t>
        </is>
      </c>
      <c r="G14" s="28" t="inlineStr">
        <is>
          <t>Hbl</t>
        </is>
      </c>
      <c r="H14" s="28" t="inlineStr">
        <is>
          <t>Askari</t>
        </is>
      </c>
      <c r="I14" s="28" t="inlineStr"/>
    </row>
    <row r="15" ht="19" customHeight="1">
      <c r="A15" s="28" t="inlineStr">
        <is>
          <t>May</t>
        </is>
      </c>
      <c r="B15" s="35" t="n">
        <v>44401</v>
      </c>
      <c r="C15" s="35">
        <f>B15*0.5</f>
        <v/>
      </c>
      <c r="D15" s="35">
        <f>B15*0.5</f>
        <v/>
      </c>
      <c r="E15" s="28" t="inlineStr">
        <is>
          <t>Received</t>
        </is>
      </c>
      <c r="F15" s="28" t="inlineStr">
        <is>
          <t>4 May 2026</t>
        </is>
      </c>
      <c r="G15" s="28" t="inlineStr">
        <is>
          <t>Nayapay</t>
        </is>
      </c>
      <c r="H15" s="28" t="inlineStr">
        <is>
          <t>Askari</t>
        </is>
      </c>
      <c r="I15" s="28" t="inlineStr"/>
    </row>
    <row r="16" ht="19" customHeight="1">
      <c r="A16" s="28" t="inlineStr">
        <is>
          <t>May</t>
        </is>
      </c>
      <c r="B16" s="35" t="n">
        <v>85616</v>
      </c>
      <c r="C16" s="35">
        <f>B16*0.5</f>
        <v/>
      </c>
      <c r="D16" s="35">
        <f>B16*0.5</f>
        <v/>
      </c>
      <c r="E16" s="28" t="inlineStr">
        <is>
          <t>Received</t>
        </is>
      </c>
      <c r="F16" s="28" t="inlineStr">
        <is>
          <t>15 May 2026</t>
        </is>
      </c>
      <c r="G16" s="28" t="inlineStr">
        <is>
          <t>Nayapay</t>
        </is>
      </c>
      <c r="H16" s="28" t="inlineStr">
        <is>
          <t>Askari</t>
        </is>
      </c>
      <c r="I16" s="28" t="inlineStr"/>
    </row>
    <row r="17" ht="19" customHeight="1">
      <c r="A17" s="28" t="inlineStr">
        <is>
          <t>May</t>
        </is>
      </c>
      <c r="B17" s="35" t="n">
        <v>29400</v>
      </c>
      <c r="C17" s="35">
        <f>B17*0.5</f>
        <v/>
      </c>
      <c r="D17" s="35">
        <f>B17*0.5</f>
        <v/>
      </c>
      <c r="E17" s="28" t="inlineStr">
        <is>
          <t>Received</t>
        </is>
      </c>
      <c r="F17" s="28" t="inlineStr">
        <is>
          <t>18 May 2026</t>
        </is>
      </c>
      <c r="G17" s="28" t="inlineStr">
        <is>
          <t>Nayapay</t>
        </is>
      </c>
      <c r="H17" s="28" t="inlineStr">
        <is>
          <t>Askari</t>
        </is>
      </c>
      <c r="I17" s="28" t="inlineStr"/>
    </row>
    <row r="18" ht="19" customHeight="1">
      <c r="A18" s="28" t="inlineStr">
        <is>
          <t>June</t>
        </is>
      </c>
      <c r="B18" s="35" t="n">
        <v>44614</v>
      </c>
      <c r="C18" s="35">
        <f>B18*0.5</f>
        <v/>
      </c>
      <c r="D18" s="35">
        <f>B18*0.5</f>
        <v/>
      </c>
      <c r="E18" s="28" t="inlineStr">
        <is>
          <t>Received</t>
        </is>
      </c>
      <c r="F18" s="28" t="inlineStr">
        <is>
          <t>4 Jun 2026</t>
        </is>
      </c>
      <c r="G18" s="28" t="inlineStr">
        <is>
          <t>Nayapay</t>
        </is>
      </c>
      <c r="H18" s="28" t="inlineStr">
        <is>
          <t>Askari</t>
        </is>
      </c>
      <c r="I18" s="28" t="inlineStr"/>
    </row>
    <row r="19" ht="19" customHeight="1">
      <c r="A19" s="28" t="inlineStr">
        <is>
          <t>June</t>
        </is>
      </c>
      <c r="B19" s="35" t="n">
        <v>7000</v>
      </c>
      <c r="C19" s="35">
        <f>B19*0.5</f>
        <v/>
      </c>
      <c r="D19" s="35">
        <f>B19*0.5</f>
        <v/>
      </c>
      <c r="E19" s="28" t="inlineStr">
        <is>
          <t>Received</t>
        </is>
      </c>
      <c r="F19" s="28" t="inlineStr">
        <is>
          <t>20 Jun 2026</t>
        </is>
      </c>
      <c r="G19" s="28" t="inlineStr">
        <is>
          <t>Nayapay</t>
        </is>
      </c>
      <c r="H19" s="28" t="inlineStr">
        <is>
          <t>Askari</t>
        </is>
      </c>
      <c r="I19" s="28" t="inlineStr"/>
    </row>
    <row r="20" ht="19" customHeight="1">
      <c r="A20" s="28" t="inlineStr">
        <is>
          <t>July</t>
        </is>
      </c>
      <c r="B20" s="35" t="n">
        <v>15000</v>
      </c>
      <c r="C20" s="35">
        <f>B20*0.5</f>
        <v/>
      </c>
      <c r="D20" s="35">
        <f>B20*0.5</f>
        <v/>
      </c>
      <c r="E20" s="28" t="inlineStr">
        <is>
          <t>Received</t>
        </is>
      </c>
      <c r="F20" s="28" t="inlineStr">
        <is>
          <t>12 Jul 2026</t>
        </is>
      </c>
      <c r="G20" s="28" t="inlineStr">
        <is>
          <t>Cutting</t>
        </is>
      </c>
      <c r="H20" s="28" t="inlineStr">
        <is>
          <t>Askari</t>
        </is>
      </c>
      <c r="I20" s="28" t="inlineStr"/>
    </row>
    <row r="21" ht="19" customHeight="1">
      <c r="A21" s="28" t="inlineStr">
        <is>
          <t>Sep</t>
        </is>
      </c>
      <c r="B21" s="35" t="n">
        <v>23113</v>
      </c>
      <c r="C21" s="35">
        <f>B21*0.5</f>
        <v/>
      </c>
      <c r="D21" s="35">
        <f>B21*0.5</f>
        <v/>
      </c>
      <c r="E21" s="28" t="inlineStr">
        <is>
          <t>Received</t>
        </is>
      </c>
      <c r="F21" s="28" t="inlineStr">
        <is>
          <t>12 Sep 2026</t>
        </is>
      </c>
      <c r="G21" s="28" t="inlineStr">
        <is>
          <t>Cutting</t>
        </is>
      </c>
      <c r="H21" s="28" t="inlineStr">
        <is>
          <t>Askari</t>
        </is>
      </c>
      <c r="I21" s="28" t="inlineStr"/>
    </row>
    <row r="22" ht="19" customHeight="1">
      <c r="A22" s="28" t="inlineStr">
        <is>
          <t>Sep</t>
        </is>
      </c>
      <c r="B22" s="35" t="n">
        <v>21920</v>
      </c>
      <c r="C22" s="35">
        <f>B22*0.5</f>
        <v/>
      </c>
      <c r="D22" s="35">
        <f>B22*0.5</f>
        <v/>
      </c>
      <c r="E22" s="28" t="inlineStr">
        <is>
          <t>Received</t>
        </is>
      </c>
      <c r="F22" s="28" t="inlineStr">
        <is>
          <t>30 Sep 2026</t>
        </is>
      </c>
      <c r="G22" s="28" t="inlineStr">
        <is>
          <t>Cutting</t>
        </is>
      </c>
      <c r="H22" s="28" t="inlineStr">
        <is>
          <t>Askari</t>
        </is>
      </c>
      <c r="I22" s="28" t="inlineStr"/>
    </row>
    <row r="23" ht="19" customHeight="1">
      <c r="A23" s="28" t="inlineStr">
        <is>
          <t>Sep</t>
        </is>
      </c>
      <c r="B23" s="35" t="n">
        <v>36099</v>
      </c>
      <c r="C23" s="35">
        <f>B23*0.5</f>
        <v/>
      </c>
      <c r="D23" s="35">
        <f>B23*0.5</f>
        <v/>
      </c>
      <c r="E23" s="28" t="inlineStr">
        <is>
          <t>Received</t>
        </is>
      </c>
      <c r="F23" s="28" t="inlineStr">
        <is>
          <t>27 Oct 2026</t>
        </is>
      </c>
      <c r="G23" s="28" t="inlineStr">
        <is>
          <t>Cutting</t>
        </is>
      </c>
      <c r="H23" s="28" t="inlineStr">
        <is>
          <t>Askari</t>
        </is>
      </c>
      <c r="I23" s="28" t="inlineStr"/>
    </row>
    <row r="24">
      <c r="A24" s="31" t="inlineStr">
        <is>
          <t>TOTAL</t>
        </is>
      </c>
      <c r="B24" s="36">
        <f>SUM(B3:B23)</f>
        <v/>
      </c>
      <c r="C24" s="36">
        <f>SUM(C3:C23)</f>
        <v/>
      </c>
      <c r="D24" s="36">
        <f>SUM(D3:D23)</f>
        <v/>
      </c>
      <c r="E24" s="37" t="n"/>
      <c r="F24" s="37" t="n"/>
      <c r="G24" s="37" t="n"/>
      <c r="H24" s="37" t="n"/>
      <c r="I24" s="37" t="n"/>
    </row>
    <row r="27" ht="28" customHeight="1">
      <c r="A27" s="1" t="inlineStr">
        <is>
          <t>HEXALEVEL — REVENUE SPLIT (NEW MODEL, effective 1 Sep 2026) | Company 30% · Shaista 23.33% · Amara 23.33% · Urooj 23.33%</t>
        </is>
      </c>
    </row>
    <row r="28" ht="22" customHeight="1">
      <c r="A28" s="26" t="inlineStr">
        <is>
          <t>Month</t>
        </is>
      </c>
      <c r="B28" s="34" t="inlineStr">
        <is>
          <t>Amount (PKR)</t>
        </is>
      </c>
      <c r="C28" s="34" t="inlineStr">
        <is>
          <t>Company 30%</t>
        </is>
      </c>
      <c r="D28" s="34" t="inlineStr">
        <is>
          <t>Shaista 23.33%</t>
        </is>
      </c>
      <c r="E28" s="34" t="inlineStr">
        <is>
          <t>Amara 23.33%</t>
        </is>
      </c>
      <c r="F28" s="34" t="inlineStr">
        <is>
          <t>Urooj 23.33%</t>
        </is>
      </c>
      <c r="G28" s="26" t="inlineStr">
        <is>
          <t>Status</t>
        </is>
      </c>
      <c r="H28" s="26" t="inlineStr">
        <is>
          <t>Date Received</t>
        </is>
      </c>
      <c r="I28" s="26" t="inlineStr">
        <is>
          <t>Shaista</t>
        </is>
      </c>
      <c r="J28" s="26" t="inlineStr">
        <is>
          <t>Amara</t>
        </is>
      </c>
      <c r="K28" s="26" t="inlineStr">
        <is>
          <t>Urooj</t>
        </is>
      </c>
      <c r="L28" s="26" t="inlineStr">
        <is>
          <t>Tax on Transfer</t>
        </is>
      </c>
      <c r="M28" s="26" t="inlineStr">
        <is>
          <t>Notes</t>
        </is>
      </c>
    </row>
    <row r="29" ht="19" customHeight="1">
      <c r="A29" s="28" t="inlineStr">
        <is>
          <t>Oct</t>
        </is>
      </c>
      <c r="B29" s="35" t="n">
        <v>20000</v>
      </c>
      <c r="C29" s="35">
        <f>B29*0.30</f>
        <v/>
      </c>
      <c r="D29" s="35">
        <f>B29*(7/30)</f>
        <v/>
      </c>
      <c r="E29" s="35">
        <f>B29*(7/30)</f>
        <v/>
      </c>
      <c r="F29" s="35">
        <f>B29*(7/30)</f>
        <v/>
      </c>
      <c r="G29" s="28" t="inlineStr">
        <is>
          <t>Received</t>
        </is>
      </c>
      <c r="H29" s="28" t="inlineStr">
        <is>
          <t>19/10/26</t>
        </is>
      </c>
      <c r="I29" s="28" t="inlineStr">
        <is>
          <t>Cutting</t>
        </is>
      </c>
      <c r="J29" s="28" t="inlineStr">
        <is>
          <t>Nayapay</t>
        </is>
      </c>
      <c r="K29" s="28" t="inlineStr">
        <is>
          <t>UBL</t>
        </is>
      </c>
      <c r="L29" s="28" t="inlineStr"/>
      <c r="M29" s="28" t="inlineStr"/>
    </row>
    <row r="30">
      <c r="A30" s="31" t="inlineStr">
        <is>
          <t>TOTAL</t>
        </is>
      </c>
      <c r="B30" s="36">
        <f>SUM(B29:B29)</f>
        <v/>
      </c>
      <c r="C30" s="36">
        <f>SUM(C29:C29)</f>
        <v/>
      </c>
      <c r="D30" s="36">
        <f>SUM(D29:D29)</f>
        <v/>
      </c>
      <c r="E30" s="36">
        <f>SUM(E29:E29)</f>
        <v/>
      </c>
      <c r="F30" s="36">
        <f>SUM(F29:F29)</f>
        <v/>
      </c>
      <c r="G30" s="37" t="n"/>
      <c r="H30" s="37" t="n"/>
      <c r="I30" s="37" t="n"/>
      <c r="J30" s="37" t="n"/>
      <c r="K30" s="37" t="n"/>
      <c r="L30" s="37" t="n"/>
      <c r="M30" s="37" t="n"/>
    </row>
  </sheetData>
  <mergeCells count="2">
    <mergeCell ref="A1:I1"/>
    <mergeCell ref="A27:M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</cols>
  <sheetData>
    <row r="1" ht="28" customHeight="1">
      <c r="A1" s="1" t="inlineStr">
        <is>
          <t>PURCHASES — Items &amp; Prices</t>
        </is>
      </c>
    </row>
    <row r="2" ht="22" customHeight="1">
      <c r="A2" s="27" t="inlineStr">
        <is>
          <t>Item / Purchase</t>
        </is>
      </c>
      <c r="B2" s="27" t="inlineStr">
        <is>
          <t>Name / Link</t>
        </is>
      </c>
      <c r="C2" s="34" t="inlineStr">
        <is>
          <t>Price (PKR)</t>
        </is>
      </c>
    </row>
    <row r="3" ht="19" customHeight="1">
      <c r="A3" s="29" t="inlineStr">
        <is>
          <t>Domain</t>
        </is>
      </c>
      <c r="B3" s="29" t="inlineStr">
        <is>
          <t>theghlvideo.com</t>
        </is>
      </c>
      <c r="C3" s="35" t="n">
        <v>3314.4</v>
      </c>
    </row>
    <row r="4" ht="19" customHeight="1">
      <c r="A4" s="29" t="inlineStr">
        <is>
          <t>Upwork Connects</t>
        </is>
      </c>
      <c r="B4" s="29" t="inlineStr">
        <is>
          <t>$15</t>
        </is>
      </c>
      <c r="C4" s="35" t="n">
        <v>4830</v>
      </c>
    </row>
    <row r="5" ht="19" customHeight="1">
      <c r="A5" s="29" t="inlineStr">
        <is>
          <t>Fiver Course</t>
        </is>
      </c>
      <c r="B5" s="29" t="inlineStr">
        <is>
          <t>Chain solution</t>
        </is>
      </c>
      <c r="C5" s="35" t="n">
        <v>1999</v>
      </c>
    </row>
    <row r="6" ht="19" customHeight="1">
      <c r="A6" s="29" t="inlineStr">
        <is>
          <t>6 course Leads generation</t>
        </is>
      </c>
      <c r="B6" s="29" t="inlineStr">
        <is>
          <t>6/6 course</t>
        </is>
      </c>
      <c r="C6" s="35" t="n">
        <v>1200</v>
      </c>
    </row>
    <row r="7" ht="19" customHeight="1">
      <c r="A7" s="29" t="inlineStr">
        <is>
          <t>Buy Crm</t>
        </is>
      </c>
      <c r="B7" s="29" t="inlineStr">
        <is>
          <t>Guarantee Crm</t>
        </is>
      </c>
      <c r="C7" s="35" t="n">
        <v>370</v>
      </c>
    </row>
    <row r="8" ht="19" customHeight="1">
      <c r="A8" s="29" t="inlineStr">
        <is>
          <t>BUY EMAIL THEGHLVIDEO</t>
        </is>
      </c>
      <c r="B8" s="29" t="inlineStr"/>
      <c r="C8" s="35" t="n">
        <v>2533.82</v>
      </c>
    </row>
    <row r="9" ht="19" customHeight="1">
      <c r="A9" s="29" t="inlineStr">
        <is>
          <t>Renew hexalevel Domain</t>
        </is>
      </c>
      <c r="B9" s="29" t="inlineStr"/>
      <c r="C9" s="35" t="n">
        <v>4955</v>
      </c>
    </row>
    <row r="10">
      <c r="A10" s="38" t="inlineStr">
        <is>
          <t>TOTAL</t>
        </is>
      </c>
      <c r="B10" s="37" t="inlineStr"/>
      <c r="C10" s="36">
        <f>SUM(C3:C9)</f>
        <v/>
      </c>
    </row>
    <row r="12" ht="28" customHeight="1">
      <c r="A12" s="1" t="inlineStr">
        <is>
          <t>NEW PURCHASES — Items &amp; Prices (from 1 Sep 2026, split 3 ways)</t>
        </is>
      </c>
    </row>
    <row r="13" ht="22" customHeight="1">
      <c r="A13" s="27" t="inlineStr">
        <is>
          <t>Item / Purchase</t>
        </is>
      </c>
      <c r="B13" s="27" t="inlineStr">
        <is>
          <t>Name / Link</t>
        </is>
      </c>
      <c r="C13" s="34" t="inlineStr">
        <is>
          <t>Price (PKR)</t>
        </is>
      </c>
    </row>
    <row r="14" ht="19" customHeight="1">
      <c r="A14" s="39" t="inlineStr"/>
      <c r="B14" s="39" t="inlineStr"/>
      <c r="C14" s="39" t="inlineStr"/>
    </row>
    <row r="15">
      <c r="A15" s="38" t="inlineStr">
        <is>
          <t>TOTAL</t>
        </is>
      </c>
      <c r="B15" s="37" t="inlineStr"/>
      <c r="C15" s="36">
        <f>SUM(C14:C14)</f>
        <v/>
      </c>
    </row>
  </sheetData>
  <mergeCells count="2">
    <mergeCell ref="A1:C1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28" customHeight="1">
      <c r="A1" s="1" t="inlineStr">
        <is>
          <t>SEND MONEY — Payments Made</t>
        </is>
      </c>
    </row>
    <row r="2" ht="22" customHeight="1">
      <c r="A2" s="27" t="inlineStr">
        <is>
          <t>Send Money To</t>
        </is>
      </c>
      <c r="B2" s="34" t="inlineStr">
        <is>
          <t>Amount Sent (PKR)</t>
        </is>
      </c>
    </row>
    <row r="3" ht="19" customHeight="1">
      <c r="A3" s="29" t="inlineStr">
        <is>
          <t>Send Sundas for email testing</t>
        </is>
      </c>
      <c r="B3" s="35" t="n">
        <v>1200</v>
      </c>
    </row>
    <row r="4" ht="19" customHeight="1">
      <c r="A4" s="29" t="inlineStr">
        <is>
          <t>Meeting Fiver with Ahsan</t>
        </is>
      </c>
      <c r="B4" s="35" t="n">
        <v>10000</v>
      </c>
    </row>
    <row r="5" ht="19" customHeight="1">
      <c r="A5" s="29" t="inlineStr">
        <is>
          <t>Waqar Udhar</t>
        </is>
      </c>
      <c r="B5" s="35" t="n">
        <v>3250</v>
      </c>
    </row>
    <row r="6" ht="19" customHeight="1">
      <c r="A6" s="40" t="inlineStr"/>
      <c r="B6" s="40" t="inlineStr"/>
    </row>
    <row r="7" ht="19" customHeight="1">
      <c r="A7" s="40" t="inlineStr"/>
      <c r="B7" s="40" t="inlineStr"/>
    </row>
    <row r="8" ht="19" customHeight="1">
      <c r="A8" s="40" t="inlineStr"/>
      <c r="B8" s="40" t="inlineStr"/>
    </row>
    <row r="9" ht="19" customHeight="1">
      <c r="A9" s="40" t="inlineStr"/>
      <c r="B9" s="40" t="inlineStr"/>
    </row>
    <row r="10" ht="19" customHeight="1">
      <c r="A10" s="40" t="inlineStr"/>
      <c r="B10" s="40" t="inlineStr"/>
    </row>
    <row r="11" ht="19" customHeight="1">
      <c r="A11" s="40" t="inlineStr"/>
      <c r="B11" s="40" t="inlineStr"/>
    </row>
    <row r="12">
      <c r="A12" s="38" t="inlineStr">
        <is>
          <t>TOTAL</t>
        </is>
      </c>
      <c r="B12" s="36">
        <f>SUM(B3:B11)</f>
        <v/>
      </c>
    </row>
    <row r="14" ht="28" customHeight="1">
      <c r="A14" s="1" t="inlineStr">
        <is>
          <t>NEW SEND MONEY — Payments Made (from 1 Sep 2026, split 3 ways)</t>
        </is>
      </c>
    </row>
    <row r="15" ht="22" customHeight="1">
      <c r="A15" s="27" t="inlineStr">
        <is>
          <t>Send Money To</t>
        </is>
      </c>
      <c r="B15" s="34" t="inlineStr">
        <is>
          <t>Amount Sent (PKR)</t>
        </is>
      </c>
    </row>
    <row r="16">
      <c r="A16" s="38" t="inlineStr">
        <is>
          <t>TOTAL</t>
        </is>
      </c>
      <c r="B16" s="36">
        <f>SUM(B15:B15)</f>
        <v/>
      </c>
    </row>
  </sheetData>
  <mergeCells count="2">
    <mergeCell ref="A14:B14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26" customWidth="1" min="10" max="10"/>
  </cols>
  <sheetData>
    <row r="1" ht="28" customHeight="1">
      <c r="A1" s="1" t="inlineStr">
        <is>
          <t>HEXALEVEL — SCENARIO C (3 REGISTERED MEMBERS · 2 WORKING · 1 SKIPPED)</t>
        </is>
      </c>
    </row>
    <row r="2" ht="20" customHeight="1">
      <c r="A2" s="41" t="inlineStr">
        <is>
          <t>Rule: Skipped member gets 0 direct share. Unallocated share (23.33%) goes to Company (53.33%). In Net Profit, surplus is credited ONLY to working members.</t>
        </is>
      </c>
    </row>
    <row r="3" ht="24" customHeight="1">
      <c r="A3" s="26" t="inlineStr">
        <is>
          <t>Project ID</t>
        </is>
      </c>
      <c r="B3" s="26" t="inlineStr">
        <is>
          <t>Client Name</t>
        </is>
      </c>
      <c r="C3" s="34" t="inlineStr">
        <is>
          <t>Amount (PKR)</t>
        </is>
      </c>
      <c r="D3" s="26" t="inlineStr">
        <is>
          <t>Status</t>
        </is>
      </c>
      <c r="E3" s="34" t="inlineStr">
        <is>
          <t>Shaista (23.33%)</t>
        </is>
      </c>
      <c r="F3" s="34" t="inlineStr">
        <is>
          <t>Amara (23.33%)</t>
        </is>
      </c>
      <c r="G3" s="34" t="inlineStr">
        <is>
          <t>Urooj (23.33%)</t>
        </is>
      </c>
      <c r="H3" s="34" t="inlineStr">
        <is>
          <t>Skipped Share to Co (23.33%)</t>
        </is>
      </c>
      <c r="I3" s="34" t="inlineStr">
        <is>
          <t>Total Co Share (53.33%)</t>
        </is>
      </c>
      <c r="J3" s="26" t="inlineStr">
        <is>
          <t>Notes</t>
        </is>
      </c>
    </row>
    <row r="4" ht="20" customHeight="1">
      <c r="A4" s="28" t="inlineStr">
        <is>
          <t>PRJ-023</t>
        </is>
      </c>
      <c r="B4" s="29" t="inlineStr">
        <is>
          <t>Umair (All 3 Active)</t>
        </is>
      </c>
      <c r="C4" s="35" t="n">
        <v>20000</v>
      </c>
      <c r="D4" s="28" t="inlineStr">
        <is>
          <t>Received</t>
        </is>
      </c>
      <c r="E4" s="35" t="n">
        <v>4666.67</v>
      </c>
      <c r="F4" s="35" t="n">
        <v>4666.67</v>
      </c>
      <c r="G4" s="35" t="n">
        <v>4666.67</v>
      </c>
      <c r="H4" s="35" t="n">
        <v>0</v>
      </c>
      <c r="I4" s="35" t="n">
        <v>6000</v>
      </c>
      <c r="J4" s="29" t="inlineStr">
        <is>
          <t>Scenario B (All 3 Active)</t>
        </is>
      </c>
    </row>
    <row r="5" ht="20" customHeight="1">
      <c r="A5" s="28" t="inlineStr">
        <is>
          <t>PRJ-024</t>
        </is>
      </c>
      <c r="B5" s="29" t="inlineStr">
        <is>
          <t>Demo Client A</t>
        </is>
      </c>
      <c r="C5" s="35" t="n">
        <v>50000</v>
      </c>
      <c r="D5" s="28" t="inlineStr">
        <is>
          <t>Received</t>
        </is>
      </c>
      <c r="E5" s="35" t="n">
        <v>11666.67</v>
      </c>
      <c r="F5" s="35" t="n">
        <v>11666.67</v>
      </c>
      <c r="G5" s="35" t="n">
        <v>0</v>
      </c>
      <c r="H5" s="35" t="n">
        <v>11666.67</v>
      </c>
      <c r="I5" s="35" t="n">
        <v>26666.67</v>
      </c>
      <c r="J5" s="29" t="inlineStr">
        <is>
          <t>Urooj Skipped -&gt; Surplus to Co</t>
        </is>
      </c>
    </row>
    <row r="6" ht="20" customHeight="1">
      <c r="A6" s="28" t="inlineStr">
        <is>
          <t>PRJ-025</t>
        </is>
      </c>
      <c r="B6" s="29" t="inlineStr">
        <is>
          <t>Demo Client B</t>
        </is>
      </c>
      <c r="C6" s="35" t="n">
        <v>30000</v>
      </c>
      <c r="D6" s="28" t="inlineStr">
        <is>
          <t>Received</t>
        </is>
      </c>
      <c r="E6" s="35" t="n">
        <v>7000</v>
      </c>
      <c r="F6" s="35" t="n">
        <v>0</v>
      </c>
      <c r="G6" s="35" t="n">
        <v>7000</v>
      </c>
      <c r="H6" s="35" t="n">
        <v>7000</v>
      </c>
      <c r="I6" s="35" t="n">
        <v>16000</v>
      </c>
      <c r="J6" s="29" t="inlineStr">
        <is>
          <t>Amara Skipped -&gt; Surplus to Co</t>
        </is>
      </c>
    </row>
    <row r="7">
      <c r="A7" s="31" t="inlineStr">
        <is>
          <t>TOTAL</t>
        </is>
      </c>
      <c r="B7" s="37" t="inlineStr"/>
      <c r="C7" s="36">
        <f>SUM(C4:C6)</f>
        <v/>
      </c>
      <c r="D7" s="37" t="inlineStr"/>
      <c r="E7" s="36">
        <f>SUM(E4:E6)</f>
        <v/>
      </c>
      <c r="F7" s="36">
        <f>SUM(F4:F6)</f>
        <v/>
      </c>
      <c r="G7" s="36">
        <f>SUM(G4:G6)</f>
        <v/>
      </c>
      <c r="H7" s="36">
        <f>SUM(H4:H6)</f>
        <v/>
      </c>
      <c r="I7" s="36">
        <f>SUM(I4:I6)</f>
        <v/>
      </c>
      <c r="J7" s="37" t="inlineStr"/>
    </row>
    <row r="10" ht="26" customHeight="1">
      <c r="A10" s="1" t="inlineStr">
        <is>
          <t>PARTNER NET PROFIT STATEMENTS (Including Scenario C Attribution)</t>
        </is>
      </c>
    </row>
    <row r="11" ht="22" customHeight="1">
      <c r="A11" s="26" t="inlineStr">
        <is>
          <t>Partner Name</t>
        </is>
      </c>
      <c r="B11" s="34" t="inlineStr">
        <is>
          <t>Direct Project Payouts</t>
        </is>
      </c>
      <c r="C11" s="34" t="inlineStr">
        <is>
          <t>Scenario C Surplus Credit</t>
        </is>
      </c>
      <c r="D11" s="34" t="inlineStr">
        <is>
          <t>Company Net Distribution</t>
        </is>
      </c>
      <c r="E11" s="34" t="inlineStr">
        <is>
          <t>Total Deductions</t>
        </is>
      </c>
      <c r="F11" s="34" t="inlineStr">
        <is>
          <t>Final Net Profit</t>
        </is>
      </c>
      <c r="G11" s="26" t="inlineStr">
        <is>
          <t>Status</t>
        </is>
      </c>
    </row>
    <row r="12" ht="20" customHeight="1">
      <c r="A12" s="42" t="inlineStr">
        <is>
          <t>Shaista (Co-Founder)</t>
        </is>
      </c>
      <c r="B12" s="35">
        <f>SUM('Revenue Split'!D3:D23)*0.5 + E7</f>
        <v/>
      </c>
      <c r="C12" s="35">
        <f>H4*0.5 + H5*1.0</f>
        <v/>
      </c>
      <c r="D12" s="35">
        <f>('Revenue Split'!C24 + 'Revenue Split'!C30 - Expenses!C10 - Expenses!C15 - 'Send Money'!B12)/3</f>
        <v/>
      </c>
      <c r="E12" s="35" t="n">
        <v>0</v>
      </c>
      <c r="F12" s="43">
        <f>B12+C12+D12-E12</f>
        <v/>
      </c>
      <c r="G12" s="44" t="inlineStr">
        <is>
          <t>Active</t>
        </is>
      </c>
    </row>
    <row r="13" ht="20" customHeight="1">
      <c r="A13" s="42" t="inlineStr">
        <is>
          <t>Amara (Co-Founder)</t>
        </is>
      </c>
      <c r="B13" s="35">
        <f>SUM('Revenue Split'!D3:D23)*0.5 + F7</f>
        <v/>
      </c>
      <c r="C13" s="35">
        <f>H4*0.5 + H6*1.0</f>
        <v/>
      </c>
      <c r="D13" s="35">
        <f>('Revenue Split'!C24 + 'Revenue Split'!C30 - Expenses!C10 - Expenses!C15 - 'Send Money'!B12)/3</f>
        <v/>
      </c>
      <c r="E13" s="35" t="n">
        <v>0</v>
      </c>
      <c r="F13" s="43">
        <f>B13+C13+D13-E13</f>
        <v/>
      </c>
      <c r="G13" s="44" t="inlineStr">
        <is>
          <t>Active</t>
        </is>
      </c>
    </row>
    <row r="14" ht="20" customHeight="1">
      <c r="A14" s="42" t="inlineStr">
        <is>
          <t>Urooj (Partner)</t>
        </is>
      </c>
      <c r="B14" s="35">
        <f>G7</f>
        <v/>
      </c>
      <c r="C14" s="35">
        <f>H6*1.0</f>
        <v/>
      </c>
      <c r="D14" s="35">
        <f>('Revenue Split'!C24 + 'Revenue Split'!C30 - Expenses!C10 - Expenses!C15 - 'Send Money'!B12)/3</f>
        <v/>
      </c>
      <c r="E14" s="35" t="n">
        <v>0</v>
      </c>
      <c r="F14" s="43">
        <f>B14+C14+D14-E14</f>
        <v/>
      </c>
      <c r="G14" s="44" t="inlineStr">
        <is>
          <t>Active</t>
        </is>
      </c>
    </row>
  </sheetData>
  <mergeCells count="3">
    <mergeCell ref="A1:J1"/>
    <mergeCell ref="A10:G1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2026-10-31T04:24:15Z</dcterms:created>
  <dcterms:modified xsi:type="dcterms:W3CDTF">2026-10-31T04:24:15Z</dcterms:modified>
</cp:coreProperties>
</file>